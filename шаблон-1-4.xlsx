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\InterFIF\src\"/>
    </mc:Choice>
  </mc:AlternateContent>
  <bookViews>
    <workbookView xWindow="0" yWindow="0" windowWidth="28770" windowHeight="11700"/>
  </bookViews>
  <sheets>
    <sheet name="Лист1" sheetId="1" r:id="rId1"/>
    <sheet name="Лист3" sheetId="2" r:id="rId2"/>
  </sheets>
  <calcPr calcId="152511" iterateDelta="1E-4"/>
</workbook>
</file>

<file path=xl/calcChain.xml><?xml version="1.0" encoding="utf-8"?>
<calcChain xmlns="http://schemas.openxmlformats.org/spreadsheetml/2006/main">
  <c r="C2" i="2" l="1"/>
  <c r="C1" i="2"/>
  <c r="B1" i="2"/>
  <c r="AI1771" i="1"/>
  <c r="AI1672" i="1"/>
  <c r="AI1652" i="1"/>
  <c r="AI1525" i="1"/>
  <c r="AI1642" i="1"/>
  <c r="AI2621" i="1"/>
  <c r="AI1361" i="1"/>
  <c r="AI1894" i="1"/>
  <c r="AI2413" i="1"/>
  <c r="Z2" i="1"/>
  <c r="AI1313" i="1"/>
  <c r="AI2524" i="1"/>
  <c r="AI2336" i="1"/>
  <c r="AI1571" i="1"/>
  <c r="AI2516" i="1"/>
  <c r="AI2619" i="1"/>
  <c r="AI2086" i="1"/>
  <c r="AI1918" i="1"/>
  <c r="AI1944" i="1"/>
  <c r="AI1723" i="1"/>
  <c r="AI1722" i="1"/>
  <c r="AI2109" i="1"/>
  <c r="AI2593" i="1"/>
  <c r="AI1667" i="1"/>
  <c r="AI2123" i="1"/>
  <c r="AI1988" i="1"/>
  <c r="AI2178" i="1"/>
  <c r="AI2195" i="1"/>
  <c r="AI2238" i="1"/>
  <c r="AI2653" i="1"/>
  <c r="AI2602" i="1"/>
  <c r="AI2448" i="1"/>
  <c r="AI1603" i="1"/>
  <c r="AI1370" i="1"/>
  <c r="AI2148" i="1"/>
  <c r="AI2505" i="1"/>
  <c r="AI1311" i="1"/>
  <c r="AI2177" i="1"/>
  <c r="AI2512" i="1"/>
  <c r="AI1646" i="1"/>
  <c r="AI1312" i="1"/>
  <c r="AI1484" i="1"/>
  <c r="AI2199" i="1"/>
  <c r="AI2408" i="1"/>
  <c r="AI2662" i="1"/>
  <c r="AI2024" i="1"/>
  <c r="AG2" i="1"/>
  <c r="AI2074" i="1"/>
  <c r="AI2387" i="1"/>
  <c r="AI2472" i="1"/>
  <c r="AI2558" i="1"/>
  <c r="AI1463" i="1"/>
  <c r="B2666" i="1"/>
  <c r="AI2019" i="1"/>
  <c r="AI1564" i="1"/>
  <c r="AI1933" i="1"/>
  <c r="U3" i="1"/>
  <c r="AI2183" i="1"/>
  <c r="AI1870" i="1"/>
  <c r="AI2366" i="1"/>
  <c r="AI1721" i="1"/>
  <c r="AI1688" i="1"/>
  <c r="AI2276" i="1"/>
  <c r="AI1848" i="1"/>
  <c r="AI2500" i="1"/>
  <c r="AI1655" i="1"/>
  <c r="U2" i="1"/>
  <c r="AI1941" i="1"/>
  <c r="AI2371" i="1"/>
  <c r="AI2067" i="1"/>
  <c r="AI2382" i="1"/>
  <c r="AI2000" i="1"/>
  <c r="AI2355" i="1"/>
  <c r="AI1802" i="1"/>
  <c r="AI1814" i="1"/>
  <c r="AI2101" i="1"/>
  <c r="AI1851" i="1"/>
  <c r="AI1650" i="1"/>
  <c r="AI1893" i="1"/>
  <c r="AI2423" i="1"/>
  <c r="AI1501" i="1"/>
  <c r="AI2527" i="1"/>
  <c r="AI2372" i="1"/>
  <c r="AI1761" i="1"/>
  <c r="AI2258" i="1"/>
  <c r="AI2514" i="1"/>
  <c r="AI2245" i="1"/>
  <c r="H2" i="1"/>
  <c r="AI2459" i="1"/>
  <c r="AI1833" i="1"/>
  <c r="AI1763" i="1"/>
  <c r="AI2610" i="1"/>
  <c r="AI1964" i="1"/>
  <c r="AI1782" i="1"/>
  <c r="AI2617" i="1"/>
  <c r="AI1375" i="1"/>
  <c r="AI2539" i="1"/>
  <c r="AD3" i="1"/>
  <c r="AI2376" i="1"/>
  <c r="AI1587" i="1"/>
  <c r="AI2479" i="1"/>
  <c r="AI2434" i="1"/>
  <c r="AI2283" i="1"/>
  <c r="AI1510" i="1"/>
  <c r="AI2543" i="1"/>
  <c r="AI2201" i="1"/>
  <c r="AI2185" i="1"/>
  <c r="AI2042" i="1"/>
  <c r="AI2470" i="1"/>
  <c r="AI2435" i="1"/>
  <c r="AI1728" i="1"/>
  <c r="AI1573" i="1"/>
  <c r="AI2044" i="1"/>
  <c r="J2" i="1"/>
  <c r="AI1303" i="1"/>
  <c r="V3" i="1"/>
  <c r="AI1759" i="1"/>
  <c r="AI1766" i="1"/>
  <c r="AI1888" i="1"/>
  <c r="AI2341" i="1"/>
  <c r="AI2611" i="1"/>
  <c r="AI1904" i="1"/>
  <c r="AI2475" i="1"/>
  <c r="AI1648" i="1"/>
  <c r="AI1514" i="1"/>
  <c r="AI1777" i="1"/>
  <c r="AI1874" i="1"/>
  <c r="AI2657" i="1"/>
  <c r="AI2428" i="1"/>
  <c r="AI1657" i="1"/>
  <c r="AI1601" i="1"/>
  <c r="AI2171" i="1"/>
  <c r="AI2392" i="1"/>
  <c r="AI1433" i="1"/>
  <c r="AI1798" i="1"/>
  <c r="AI2153" i="1"/>
  <c r="E2" i="1"/>
  <c r="AI2021" i="1"/>
  <c r="AI2561" i="1"/>
  <c r="AI1899" i="1"/>
  <c r="AI2559" i="1"/>
  <c r="AI2265" i="1"/>
  <c r="AI1334" i="1"/>
  <c r="AI1678" i="1"/>
  <c r="AI1835" i="1"/>
  <c r="AI1895" i="1"/>
  <c r="AI1400" i="1"/>
  <c r="AI2407" i="1"/>
  <c r="AI1340" i="1"/>
  <c r="AI1716" i="1"/>
  <c r="AI1698" i="1"/>
  <c r="AI1323" i="1"/>
  <c r="AI1982" i="1"/>
  <c r="AI2455" i="1"/>
  <c r="AI1872" i="1"/>
  <c r="AI2360" i="1"/>
  <c r="AI1372" i="1"/>
  <c r="AI2250" i="1"/>
  <c r="AI1962" i="1"/>
  <c r="AI1536" i="1"/>
  <c r="AI2340" i="1"/>
  <c r="AI2369" i="1"/>
  <c r="AI1981" i="1"/>
  <c r="AI2443" i="1"/>
  <c r="AI1656" i="1"/>
  <c r="AI1526" i="1"/>
  <c r="AI1628" i="1"/>
  <c r="AI2237" i="1"/>
  <c r="B2671" i="1"/>
  <c r="AI1530" i="1"/>
  <c r="AI1977" i="1"/>
  <c r="AI1422" i="1"/>
  <c r="AI1633" i="1"/>
  <c r="AI2518" i="1"/>
  <c r="AI1712" i="1"/>
  <c r="AI1329" i="1"/>
  <c r="AI2160" i="1"/>
  <c r="AI2277" i="1"/>
  <c r="AI2506" i="1"/>
  <c r="AI2442" i="1"/>
  <c r="AI2223" i="1"/>
  <c r="AI2228" i="1"/>
  <c r="AI2170" i="1"/>
  <c r="AI1939" i="1"/>
  <c r="AI1455" i="1"/>
  <c r="AI1593" i="1"/>
  <c r="AI1864" i="1"/>
  <c r="AI2454" i="1"/>
  <c r="AI1332" i="1"/>
  <c r="AI2118" i="1"/>
  <c r="AI1350" i="1"/>
  <c r="AI1553" i="1"/>
  <c r="AI1831" i="1"/>
  <c r="W2" i="1"/>
  <c r="AI2298" i="1"/>
  <c r="AI2422" i="1"/>
  <c r="AI2658" i="1"/>
  <c r="AI2279" i="1"/>
  <c r="AI2036" i="1"/>
  <c r="AI1960" i="1"/>
  <c r="AI1362" i="1"/>
  <c r="AI2511" i="1"/>
  <c r="AI1885" i="1"/>
  <c r="AI2317" i="1"/>
  <c r="D3" i="1"/>
  <c r="AI1803" i="1"/>
  <c r="AI2510" i="1"/>
  <c r="AI2489" i="1"/>
  <c r="AI2233" i="1"/>
  <c r="AI2552" i="1"/>
  <c r="AI1590" i="1"/>
  <c r="AI2253" i="1"/>
  <c r="AI2026" i="1"/>
  <c r="AI1318" i="1"/>
  <c r="Q3" i="1"/>
  <c r="AI1923" i="1"/>
  <c r="AI1700" i="1"/>
  <c r="AI1431" i="1"/>
  <c r="AI2540" i="1"/>
  <c r="AI1683" i="1"/>
  <c r="AI1423" i="1"/>
  <c r="AI1440" i="1"/>
  <c r="AI2106" i="1"/>
  <c r="AI2102" i="1"/>
  <c r="K2" i="1"/>
  <c r="AI1680" i="1"/>
  <c r="AI2131" i="1"/>
  <c r="AI1547" i="1"/>
  <c r="AI1920" i="1"/>
  <c r="AI1475" i="1"/>
  <c r="AI1386" i="1"/>
  <c r="AI1554" i="1"/>
  <c r="AI1887" i="1"/>
  <c r="AI2311" i="1"/>
  <c r="F3" i="1"/>
  <c r="AI1436" i="1"/>
  <c r="AI2424" i="1"/>
  <c r="AI1660" i="1"/>
  <c r="AI2247" i="1"/>
  <c r="AI2582" i="1"/>
  <c r="AI2104" i="1"/>
  <c r="B2668" i="1"/>
  <c r="AI1506" i="1"/>
  <c r="AI2649" i="1"/>
  <c r="AI2065" i="1"/>
  <c r="AI1619" i="1"/>
  <c r="AI2030" i="1"/>
  <c r="AI1542" i="1"/>
  <c r="AI1594" i="1"/>
  <c r="AI2056" i="1"/>
  <c r="AI1345" i="1"/>
  <c r="AI1747" i="1"/>
  <c r="AI1639" i="1"/>
  <c r="AI1952" i="1"/>
  <c r="AI1653" i="1"/>
  <c r="AI1665" i="1"/>
  <c r="G3" i="1"/>
  <c r="AI1937" i="1"/>
  <c r="AI2060" i="1"/>
  <c r="AI2162" i="1"/>
  <c r="AI1676" i="1"/>
  <c r="AI1462" i="1"/>
  <c r="AI1947" i="1"/>
  <c r="AI2390" i="1"/>
  <c r="AI1382" i="1"/>
  <c r="AI2252" i="1"/>
  <c r="AI1979" i="1"/>
  <c r="AI1505" i="1"/>
  <c r="AI2612" i="1"/>
  <c r="AI2440" i="1"/>
  <c r="AI1861" i="1"/>
  <c r="AI1697" i="1"/>
  <c r="AI2603" i="1"/>
  <c r="AI2342" i="1"/>
  <c r="AI2309" i="1"/>
  <c r="AI2229" i="1"/>
  <c r="AI1832" i="1"/>
  <c r="AI1470" i="1"/>
  <c r="AI2297" i="1"/>
  <c r="AI1975" i="1"/>
  <c r="AI2220" i="1"/>
  <c r="AI2007" i="1"/>
  <c r="AI1613" i="1"/>
  <c r="AI2566" i="1"/>
  <c r="AI1750" i="1"/>
  <c r="AI2079" i="1"/>
  <c r="AI2005" i="1"/>
  <c r="AI2553" i="1"/>
  <c r="AI1955" i="1"/>
  <c r="AI2478" i="1"/>
  <c r="AI2615" i="1"/>
  <c r="AI2551" i="1"/>
  <c r="AI1669" i="1"/>
  <c r="AI1924" i="1"/>
  <c r="AI1773" i="1"/>
  <c r="AI1483" i="1"/>
  <c r="AI2332" i="1"/>
  <c r="AI2414" i="1"/>
  <c r="AI1892" i="1"/>
  <c r="AI2119" i="1"/>
  <c r="AI2646" i="1"/>
  <c r="AI2227" i="1"/>
  <c r="AI1921" i="1"/>
  <c r="L3" i="1"/>
  <c r="AI2326" i="1"/>
  <c r="AI1730" i="1"/>
  <c r="AI1980" i="1"/>
  <c r="AI1488" i="1"/>
  <c r="AI2085" i="1"/>
  <c r="AI1563" i="1"/>
  <c r="AI2598" i="1"/>
  <c r="AI1630" i="1"/>
  <c r="AI1565" i="1"/>
  <c r="R3" i="1"/>
  <c r="AI2509" i="1"/>
  <c r="AI2093" i="1"/>
  <c r="AI2365" i="1"/>
  <c r="AI1538" i="1"/>
  <c r="AI2488" i="1"/>
  <c r="AI1344" i="1"/>
  <c r="AI1999" i="1"/>
  <c r="AI1457" i="1"/>
  <c r="AI1746" i="1"/>
  <c r="AI2310" i="1"/>
  <c r="AI2584" i="1"/>
  <c r="AI1911" i="1"/>
  <c r="AI2650" i="1"/>
  <c r="AI1569" i="1"/>
  <c r="AI1543" i="1"/>
  <c r="AI2580" i="1"/>
  <c r="AI1426" i="1"/>
  <c r="AI2363" i="1"/>
  <c r="AI2535" i="1"/>
  <c r="AI2043" i="1"/>
  <c r="AI1458" i="1"/>
  <c r="AI1713" i="1"/>
  <c r="AI1437" i="1"/>
  <c r="AI2367" i="1"/>
  <c r="AI2399" i="1"/>
  <c r="AI2498" i="1"/>
  <c r="AI1548" i="1"/>
  <c r="AI1308" i="1"/>
  <c r="AI2167" i="1"/>
  <c r="AI2002" i="1"/>
  <c r="T3" i="1"/>
  <c r="AI2383" i="1"/>
  <c r="AI2637" i="1"/>
  <c r="AI2211" i="1"/>
  <c r="AI2120" i="1"/>
  <c r="AI1408" i="1"/>
  <c r="AI1824" i="1"/>
  <c r="AI1734" i="1"/>
  <c r="AI1682" i="1"/>
  <c r="AI1464" i="1"/>
  <c r="AB3" i="1"/>
  <c r="AI1611" i="1"/>
  <c r="AI2" i="1"/>
  <c r="AC3" i="1"/>
  <c r="AI1732" i="1"/>
  <c r="AI1686" i="1"/>
  <c r="D2" i="1"/>
  <c r="AI1574" i="1"/>
  <c r="J3" i="1"/>
  <c r="AI2628" i="1"/>
  <c r="AI2072" i="1"/>
  <c r="AI1710" i="1"/>
  <c r="AI2333" i="1"/>
  <c r="AI1886" i="1"/>
  <c r="AI1533" i="1"/>
  <c r="AI2130" i="1"/>
  <c r="AI1532" i="1"/>
  <c r="AI2206" i="1"/>
  <c r="AI2219" i="1"/>
  <c r="AI1355" i="1"/>
  <c r="AI1625" i="1"/>
  <c r="AI1557" i="1"/>
  <c r="AI1733" i="1"/>
  <c r="AI2137" i="1"/>
  <c r="AI1623" i="1"/>
  <c r="AI1602" i="1"/>
  <c r="AI1839" i="1"/>
  <c r="AI1337" i="1"/>
  <c r="AI2165" i="1"/>
  <c r="AI2235" i="1"/>
  <c r="AI1836" i="1"/>
  <c r="AI2057" i="1"/>
  <c r="AI1315" i="1"/>
  <c r="AI1901" i="1"/>
  <c r="AI1467" i="1"/>
  <c r="AI1645" i="1"/>
  <c r="AI1897" i="1"/>
  <c r="AI2197" i="1"/>
  <c r="AI1850" i="1"/>
  <c r="AI2062" i="1"/>
  <c r="AI2087" i="1"/>
  <c r="AI2254" i="1"/>
  <c r="AI1878" i="1"/>
  <c r="AI1868" i="1"/>
  <c r="AI1815" i="1"/>
  <c r="AI1421" i="1"/>
  <c r="AI1880" i="1"/>
  <c r="AI2624" i="1"/>
  <c r="AI1560" i="1"/>
  <c r="AI2460" i="1"/>
  <c r="AI2278" i="1"/>
  <c r="AI1694" i="1"/>
  <c r="AI1703" i="1"/>
  <c r="AI2385" i="1"/>
  <c r="AI2193" i="1"/>
  <c r="AI2182" i="1"/>
  <c r="AI1637" i="1"/>
  <c r="AI1829" i="1"/>
  <c r="AI2009" i="1"/>
  <c r="AI1789" i="1"/>
  <c r="AI2638" i="1"/>
  <c r="AI2215" i="1"/>
  <c r="AI1401" i="1"/>
  <c r="AI1856" i="1"/>
  <c r="AI1546" i="1"/>
  <c r="AI2378" i="1"/>
  <c r="AI1881" i="1"/>
  <c r="AI2564" i="1"/>
  <c r="AI2113" i="1"/>
  <c r="AI2108" i="1"/>
  <c r="AI1394" i="1"/>
  <c r="AI1416" i="1"/>
  <c r="AI1529" i="1"/>
  <c r="AI2312" i="1"/>
  <c r="AI2324" i="1"/>
  <c r="AI2655" i="1"/>
  <c r="AI1925" i="1"/>
  <c r="AI2259" i="1"/>
  <c r="AI2078" i="1"/>
  <c r="AI1790" i="1"/>
  <c r="AI1349" i="1"/>
  <c r="AI2053" i="1"/>
  <c r="AI2267" i="1"/>
  <c r="AI2224" i="1"/>
  <c r="AI2141" i="1"/>
  <c r="AI2321" i="1"/>
  <c r="AI2076" i="1"/>
  <c r="AI1327" i="1"/>
  <c r="AI2166" i="1"/>
  <c r="AI2345" i="1"/>
  <c r="AI1631" i="1"/>
  <c r="AI1521" i="1"/>
  <c r="AI2272" i="1"/>
  <c r="AI2462" i="1"/>
  <c r="AI1866" i="1"/>
  <c r="AI1367" i="1"/>
  <c r="AI1792" i="1"/>
  <c r="AI2654" i="1"/>
  <c r="AI2241" i="1"/>
  <c r="AI2497" i="1"/>
  <c r="AI1389" i="1"/>
  <c r="AI2642" i="1"/>
  <c r="AI1873" i="1"/>
  <c r="AI2095" i="1"/>
  <c r="AI1580" i="1"/>
  <c r="AI1794" i="1"/>
  <c r="AI1739" i="1"/>
  <c r="AI2577" i="1"/>
  <c r="AI1865" i="1"/>
  <c r="AI2179" i="1"/>
  <c r="AI1970" i="1"/>
  <c r="AI2070" i="1"/>
  <c r="C3" i="1"/>
  <c r="AI2361" i="1"/>
  <c r="AI1898" i="1"/>
  <c r="AI1997" i="1"/>
  <c r="AI2368" i="1"/>
  <c r="AI1719" i="1"/>
  <c r="AI1508" i="1"/>
  <c r="AI1489" i="1"/>
  <c r="AI2145" i="1"/>
  <c r="AI2519" i="1"/>
  <c r="F2" i="1"/>
  <c r="AI2032" i="1"/>
  <c r="AI2397" i="1"/>
  <c r="AI1671" i="1"/>
  <c r="AI1600" i="1"/>
  <c r="AI1737" i="1"/>
  <c r="AI2232" i="1"/>
  <c r="AI1589" i="1"/>
  <c r="AI1679" i="1"/>
  <c r="AI1314" i="1"/>
  <c r="AI2652" i="1"/>
  <c r="AI1838" i="1"/>
  <c r="AI1740" i="1"/>
  <c r="AI2441" i="1"/>
  <c r="AI2098" i="1"/>
  <c r="AI2384" i="1"/>
  <c r="AI2240" i="1"/>
  <c r="AI1765" i="1"/>
  <c r="AI1609" i="1"/>
  <c r="AI1304" i="1"/>
  <c r="AI1409" i="1"/>
  <c r="AI2664" i="1"/>
  <c r="AI1647" i="1"/>
  <c r="AI1936" i="1"/>
  <c r="AI1724" i="1"/>
  <c r="AI2639" i="1"/>
  <c r="AI1520" i="1"/>
  <c r="AI2191" i="1"/>
  <c r="AI1597" i="1"/>
  <c r="AI1910" i="1"/>
  <c r="AI2607" i="1"/>
  <c r="AI1360" i="1"/>
  <c r="AI2622" i="1"/>
  <c r="AI1339" i="1"/>
  <c r="AI2562" i="1"/>
  <c r="AI1707" i="1"/>
  <c r="AI2659" i="1"/>
  <c r="AI1341" i="1"/>
  <c r="AI1708" i="1"/>
  <c r="AI2268" i="1"/>
  <c r="AI2249" i="1"/>
  <c r="AI1513" i="1"/>
  <c r="AI2300" i="1"/>
  <c r="AI1968" i="1"/>
  <c r="AI1971" i="1"/>
  <c r="B2667" i="1"/>
  <c r="AI2152" i="1"/>
  <c r="AI2547" i="1"/>
  <c r="AI2003" i="1"/>
  <c r="AI2352" i="1"/>
  <c r="AI1858" i="1"/>
  <c r="AI2047" i="1"/>
  <c r="AI1610" i="1"/>
  <c r="AI1963" i="1"/>
  <c r="AI1377" i="1"/>
  <c r="AI2327" i="1"/>
  <c r="AI2050" i="1"/>
  <c r="AI1356" i="1"/>
  <c r="AI2251" i="1"/>
  <c r="AI2597" i="1"/>
  <c r="AI2630" i="1"/>
  <c r="AI1928" i="1"/>
  <c r="AI2330" i="1"/>
  <c r="AI1677" i="1"/>
  <c r="AI1876" i="1"/>
  <c r="AI1406" i="1"/>
  <c r="AI1664" i="1"/>
  <c r="AI1518" i="1"/>
  <c r="AI2353" i="1"/>
  <c r="AI1778" i="1"/>
  <c r="AI1328" i="1"/>
  <c r="AI1987" i="1"/>
  <c r="AI2410" i="1"/>
  <c r="AI1636" i="1"/>
  <c r="AI1476" i="1"/>
  <c r="AI1991" i="1"/>
  <c r="AI2163" i="1"/>
  <c r="AI2585" i="1"/>
  <c r="AI2040" i="1"/>
  <c r="AI1494" i="1"/>
  <c r="AI1714" i="1"/>
  <c r="AI1735" i="1"/>
  <c r="B2665" i="1"/>
  <c r="AI1753" i="1"/>
  <c r="AI2526" i="1"/>
  <c r="AI2634" i="1"/>
  <c r="AI2323" i="1"/>
  <c r="AI1413" i="1"/>
  <c r="AI2467" i="1"/>
  <c r="AI2031" i="1"/>
  <c r="S2" i="1"/>
  <c r="AI2054" i="1"/>
  <c r="AI1931" i="1"/>
  <c r="AI2203" i="1"/>
  <c r="AI1799" i="1"/>
  <c r="AI2315" i="1"/>
  <c r="AI1420" i="1"/>
  <c r="AI2039" i="1"/>
  <c r="AI2463" i="1"/>
  <c r="AI2618" i="1"/>
  <c r="AI2377" i="1"/>
  <c r="AI2351" i="1"/>
  <c r="AI2354" i="1"/>
  <c r="AI2052" i="1"/>
  <c r="AI2589" i="1"/>
  <c r="AI1837" i="1"/>
  <c r="AI1715" i="1"/>
  <c r="AI2081" i="1"/>
  <c r="AI1374" i="1"/>
  <c r="AI1953" i="1"/>
  <c r="AI2594" i="1"/>
  <c r="AI2471" i="1"/>
  <c r="AI1966" i="1"/>
  <c r="AI2190" i="1"/>
  <c r="AI1783" i="1"/>
  <c r="AI1629" i="1"/>
  <c r="AI1938" i="1"/>
  <c r="AI2008" i="1"/>
  <c r="AI1371" i="1"/>
  <c r="AI2374" i="1"/>
  <c r="AI1826" i="1"/>
  <c r="AF3" i="1"/>
  <c r="AI1418" i="1"/>
  <c r="AI1435" i="1"/>
  <c r="AI2477" i="1"/>
  <c r="AI1456" i="1"/>
  <c r="AI2647" i="1"/>
  <c r="AI1743" i="1"/>
  <c r="AI1903" i="1"/>
  <c r="AI2208" i="1"/>
  <c r="AI2651" i="1"/>
  <c r="AI1863" i="1"/>
  <c r="AI2161" i="1"/>
  <c r="AI1717" i="1"/>
  <c r="AI2370" i="1"/>
  <c r="AI1562" i="1"/>
  <c r="AI2549" i="1"/>
  <c r="AI1556" i="1"/>
  <c r="AI2034" i="1"/>
  <c r="AI2417" i="1"/>
  <c r="AI1973" i="1"/>
  <c r="AI2058" i="1"/>
  <c r="AI1684" i="1"/>
  <c r="AI2421" i="1"/>
  <c r="AI1353" i="1"/>
  <c r="AI1444" i="1"/>
  <c r="AI1486" i="1"/>
  <c r="AI1471" i="1"/>
  <c r="AI1351" i="1"/>
  <c r="AI2246" i="1"/>
  <c r="AI1482" i="1"/>
  <c r="AI2661" i="1"/>
  <c r="AI2364" i="1"/>
  <c r="AI2210" i="1"/>
  <c r="B2669" i="1"/>
  <c r="AI1762" i="1"/>
  <c r="AI2502" i="1"/>
  <c r="AI1729" i="1"/>
  <c r="AI1853" i="1"/>
  <c r="AI1531" i="1"/>
  <c r="Z3" i="1"/>
  <c r="AI1946" i="1"/>
  <c r="AI2531" i="1"/>
  <c r="AI2398" i="1"/>
  <c r="AI2381" i="1"/>
  <c r="AI2064" i="1"/>
  <c r="AI1807" i="1"/>
  <c r="AI2375" i="1"/>
  <c r="AI2495" i="1"/>
  <c r="AI2225" i="1"/>
  <c r="AI1916" i="1"/>
  <c r="AI2473" i="1"/>
  <c r="AI2545" i="1"/>
  <c r="AI1704" i="1"/>
  <c r="AI2029" i="1"/>
  <c r="AI2338" i="1"/>
  <c r="AI1685" i="1"/>
  <c r="AI1638" i="1"/>
  <c r="AI2436" i="1"/>
  <c r="AI2299" i="1"/>
  <c r="AI2581" i="1"/>
  <c r="AI1515" i="1"/>
  <c r="AI2125" i="1"/>
  <c r="AI2209" i="1"/>
  <c r="AI1479" i="1"/>
  <c r="AI1438" i="1"/>
  <c r="AI2110" i="1"/>
  <c r="AI2517" i="1"/>
  <c r="AI1769" i="1"/>
  <c r="AI2481" i="1"/>
  <c r="AI1322" i="1"/>
  <c r="AI1491" i="1"/>
  <c r="AI2269" i="1"/>
  <c r="AI1689" i="1"/>
  <c r="AI1985" i="1"/>
  <c r="AI1566" i="1"/>
  <c r="AI2303" i="1"/>
  <c r="AI2186" i="1"/>
  <c r="AI2302" i="1"/>
  <c r="AI1333" i="1"/>
  <c r="AI2018" i="1"/>
  <c r="AI2242" i="1"/>
  <c r="AI1607" i="1"/>
  <c r="AI1393" i="1"/>
  <c r="AI2606" i="1"/>
  <c r="AI2591" i="1"/>
  <c r="AI1912" i="1"/>
  <c r="AI2295" i="1"/>
  <c r="AI1860" i="1"/>
  <c r="AI2579" i="1"/>
  <c r="AI2280" i="1"/>
  <c r="AI1578" i="1"/>
  <c r="AI1481" i="1"/>
  <c r="AI1492" i="1"/>
  <c r="B2670" i="1"/>
  <c r="AI2143" i="1"/>
  <c r="AI2022" i="1"/>
  <c r="P3" i="1"/>
  <c r="AI2416" i="1"/>
  <c r="AI2563" i="1"/>
  <c r="AI1427" i="1"/>
  <c r="AI2150" i="1"/>
  <c r="AI1621" i="1"/>
  <c r="AI2155" i="1"/>
  <c r="AI2521" i="1"/>
  <c r="AI2358" i="1"/>
  <c r="AI2362" i="1"/>
  <c r="AI2286" i="1"/>
  <c r="AI2643" i="1"/>
  <c r="AI1419" i="1"/>
  <c r="AI2331" i="1"/>
  <c r="AI1965" i="1"/>
  <c r="AI1411" i="1"/>
  <c r="AI2635" i="1"/>
  <c r="AI2507" i="1"/>
  <c r="AI1599" i="1"/>
  <c r="AI2493" i="1"/>
  <c r="AI2014" i="1"/>
  <c r="V2" i="1"/>
  <c r="AI1834" i="1"/>
  <c r="AI1658" i="1"/>
  <c r="AI2546" i="1"/>
  <c r="AI2266" i="1"/>
  <c r="AI2231" i="1"/>
  <c r="AI1468" i="1"/>
  <c r="AI1535" i="1"/>
  <c r="AI1967" i="1"/>
  <c r="AI1681" i="1"/>
  <c r="K3" i="1"/>
  <c r="AI2456" i="1"/>
  <c r="AI2393" i="1"/>
  <c r="AI2012" i="1"/>
  <c r="AI1806" i="1"/>
  <c r="AI1450" i="1"/>
  <c r="AI1774" i="1"/>
  <c r="AI2599" i="1"/>
  <c r="M3" i="1"/>
  <c r="AI2271" i="1"/>
  <c r="AI1995" i="1"/>
  <c r="AI1945" i="1"/>
  <c r="AI1582" i="1"/>
  <c r="E3" i="1"/>
  <c r="A2" i="1"/>
  <c r="AI2107" i="1"/>
  <c r="AI1768" i="1"/>
  <c r="AI2325" i="1"/>
  <c r="AI2660" i="1"/>
  <c r="AI1811" i="1"/>
  <c r="AI1632" i="1"/>
  <c r="AI1749" i="1"/>
  <c r="AI1584" i="1"/>
  <c r="AI2028" i="1"/>
  <c r="AI2006" i="1"/>
  <c r="AI1434" i="1"/>
  <c r="AI1867" i="1"/>
  <c r="AI1781" i="1"/>
  <c r="AI2314" i="1"/>
  <c r="AI1620" i="1"/>
  <c r="AI2164" i="1"/>
  <c r="AI2015" i="1"/>
  <c r="AI2586" i="1"/>
  <c r="AI1343" i="1"/>
  <c r="AI1385" i="1"/>
  <c r="AF2" i="1"/>
  <c r="AI1342" i="1"/>
  <c r="AI2105" i="1"/>
  <c r="AI1984" i="1"/>
  <c r="AI1668" i="1"/>
  <c r="AI2538" i="1"/>
  <c r="AI1822" i="1"/>
  <c r="AI1415" i="1"/>
  <c r="AI2395" i="1"/>
  <c r="AI2590" i="1"/>
  <c r="AI1395" i="1"/>
  <c r="AI2405" i="1"/>
  <c r="AI1516" i="1"/>
  <c r="AI1331" i="1"/>
  <c r="AI1452" i="1"/>
  <c r="AI1706" i="1"/>
  <c r="AI2418" i="1"/>
  <c r="AI2565" i="1"/>
  <c r="AI1758" i="1"/>
  <c r="AG3" i="1"/>
  <c r="AI1428" i="1"/>
  <c r="AI1402" i="1"/>
  <c r="AI1545" i="1"/>
  <c r="AI1498" i="1"/>
  <c r="AI1555" i="1"/>
  <c r="AI2017" i="1"/>
  <c r="AI1902" i="1"/>
  <c r="AI2401" i="1"/>
  <c r="AI1786" i="1"/>
  <c r="AI1466" i="1"/>
  <c r="AI2154" i="1"/>
  <c r="AI1788" i="1"/>
  <c r="AI1755" i="1"/>
  <c r="AI2236" i="1"/>
  <c r="AI1635" i="1"/>
  <c r="AI2142" i="1"/>
  <c r="AI1391" i="1"/>
  <c r="AI1588" i="1"/>
  <c r="AI2396" i="1"/>
  <c r="AI1459" i="1"/>
  <c r="AI1950" i="1"/>
  <c r="AI2073" i="1"/>
  <c r="AI2439" i="1"/>
  <c r="AI2494" i="1"/>
  <c r="AI2604" i="1"/>
  <c r="AI1830" i="1"/>
  <c r="AI2281" i="1"/>
  <c r="AI2447" i="1"/>
  <c r="AI2458" i="1"/>
  <c r="AI1384" i="1"/>
  <c r="AI2356" i="1"/>
  <c r="AI2051" i="1"/>
  <c r="AI2248" i="1"/>
  <c r="AI2483" i="1"/>
  <c r="AI2285" i="1"/>
  <c r="AI1617" i="1"/>
  <c r="AI2411" i="1"/>
  <c r="O3" i="1"/>
  <c r="AI2132" i="1"/>
  <c r="AI1875" i="1"/>
  <c r="AI2103" i="1"/>
  <c r="AI1383" i="1"/>
  <c r="AI1827" i="1"/>
  <c r="AI1310" i="1"/>
  <c r="AI2033" i="1"/>
  <c r="AI1940" i="1"/>
  <c r="AI2077" i="1"/>
  <c r="AI1695" i="1"/>
  <c r="AI2496" i="1"/>
  <c r="AI2513" i="1"/>
  <c r="AI1495" i="1"/>
  <c r="AI2216" i="1"/>
  <c r="AI1696" i="1"/>
  <c r="AI2188" i="1"/>
  <c r="AI1810" i="1"/>
  <c r="AI1624" i="1"/>
  <c r="AI2112" i="1"/>
  <c r="AI2438" i="1"/>
  <c r="AI2261" i="1"/>
  <c r="AI2194" i="1"/>
  <c r="AI2633" i="1"/>
  <c r="AI1884" i="1"/>
  <c r="AI2576" i="1"/>
  <c r="AI1751" i="1"/>
  <c r="AI1477" i="1"/>
  <c r="AI2305" i="1"/>
  <c r="AI2631" i="1"/>
  <c r="AI1309" i="1"/>
  <c r="AI1818" i="1"/>
  <c r="AI2490" i="1"/>
  <c r="AI1914" i="1"/>
  <c r="AI2230" i="1"/>
  <c r="AI1745" i="1"/>
  <c r="AI2180" i="1"/>
  <c r="AI2319" i="1"/>
  <c r="AI1986" i="1"/>
  <c r="AI1549" i="1"/>
  <c r="AI2578" i="1"/>
  <c r="AI1364" i="1"/>
  <c r="AI2205" i="1"/>
  <c r="AD2" i="1"/>
  <c r="AI1445" i="1"/>
  <c r="AI1524" i="1"/>
  <c r="AI1699" i="1"/>
  <c r="AI2304" i="1"/>
  <c r="AI1748" i="1"/>
  <c r="AI1693" i="1"/>
  <c r="AI2291" i="1"/>
  <c r="AI1948" i="1"/>
  <c r="AI1500" i="1"/>
  <c r="AI1906" i="1"/>
  <c r="AI2453" i="1"/>
  <c r="AI2274" i="1"/>
  <c r="AI2288" i="1"/>
  <c r="AI1348" i="1"/>
  <c r="AI2316" i="1"/>
  <c r="AI2359" i="1"/>
  <c r="AI2080" i="1"/>
  <c r="AI2608" i="1"/>
  <c r="AI1809" i="1"/>
  <c r="AI2329" i="1"/>
  <c r="AE3" i="1"/>
  <c r="AI2226" i="1"/>
  <c r="AI2445" i="1"/>
  <c r="AI2114" i="1"/>
  <c r="AI2468" i="1"/>
  <c r="AI1379" i="1"/>
  <c r="AI1690" i="1"/>
  <c r="AI1581" i="1"/>
  <c r="AI1775" i="1"/>
  <c r="AI2063" i="1"/>
  <c r="AI2380" i="1"/>
  <c r="AI2550" i="1"/>
  <c r="AI1561" i="1"/>
  <c r="AI2068" i="1"/>
  <c r="AI2587" i="1"/>
  <c r="AI2522" i="1"/>
  <c r="AI2133" i="1"/>
  <c r="AI1823" i="1"/>
  <c r="C2" i="1"/>
  <c r="AI2469" i="1"/>
  <c r="AI2347" i="1"/>
  <c r="AI1507" i="1"/>
  <c r="AI1956" i="1"/>
  <c r="AI1559" i="1"/>
  <c r="AI2138" i="1"/>
  <c r="AI1404" i="1"/>
  <c r="AI1373" i="1"/>
  <c r="AI1754" i="1"/>
  <c r="AI2544" i="1"/>
  <c r="AI2066" i="1"/>
  <c r="AI1954" i="1"/>
  <c r="AI1381" i="1"/>
  <c r="AI1325" i="1"/>
  <c r="AI1398" i="1"/>
  <c r="AI1552" i="1"/>
  <c r="AI1801" i="1"/>
  <c r="I3" i="1"/>
  <c r="AI1368" i="1"/>
  <c r="AI2192" i="1"/>
  <c r="AI2135" i="1"/>
  <c r="AI1934" i="1"/>
  <c r="AI1335" i="1"/>
  <c r="AI1473" i="1"/>
  <c r="AI2196" i="1"/>
  <c r="AI2284" i="1"/>
  <c r="AI1496" i="1"/>
  <c r="AI1958" i="1"/>
  <c r="AI1446" i="1"/>
  <c r="AI2090" i="1"/>
  <c r="AI2528" i="1"/>
  <c r="AI1882" i="1"/>
  <c r="AI1900" i="1"/>
  <c r="AI1469" i="1"/>
  <c r="AI1460" i="1"/>
  <c r="AI2466" i="1"/>
  <c r="AI2429" i="1"/>
  <c r="AI1992" i="1"/>
  <c r="X2" i="1"/>
  <c r="AI1736" i="1"/>
  <c r="AI1576" i="1"/>
  <c r="AI1805" i="1"/>
  <c r="AI1410" i="1"/>
  <c r="AI2218" i="1"/>
  <c r="AI1380" i="1"/>
  <c r="AI1490" i="1"/>
  <c r="AI1891" i="1"/>
  <c r="AI1430" i="1"/>
  <c r="AI2373" i="1"/>
  <c r="AI1796" i="1"/>
  <c r="AI2492" i="1"/>
  <c r="AI2491" i="1"/>
  <c r="AI2046" i="1"/>
  <c r="AI2449" i="1"/>
  <c r="AI1913" i="1"/>
  <c r="AI2189" i="1"/>
  <c r="AI2001" i="1"/>
  <c r="AI2159" i="1"/>
  <c r="AI2172" i="1"/>
  <c r="AI2083" i="1"/>
  <c r="AI2306" i="1"/>
  <c r="AI1813" i="1"/>
  <c r="AI1512" i="1"/>
  <c r="AI2301" i="1"/>
  <c r="AI1757" i="1"/>
  <c r="AI1862" i="1"/>
  <c r="AI1711" i="1"/>
  <c r="AI2027" i="1"/>
  <c r="AI2308" i="1"/>
  <c r="AI1449" i="1"/>
  <c r="AI1502" i="1"/>
  <c r="AI1705" i="1"/>
  <c r="AI1472" i="1"/>
  <c r="AI2583" i="1"/>
  <c r="AI2097" i="1"/>
  <c r="AI2257" i="1"/>
  <c r="AI2270" i="1"/>
  <c r="AI2554" i="1"/>
  <c r="AI2128" i="1"/>
  <c r="AI2117" i="1"/>
  <c r="AI1534" i="1"/>
  <c r="AI2425" i="1"/>
  <c r="AI2627" i="1"/>
  <c r="AI2446" i="1"/>
  <c r="AI1442" i="1"/>
  <c r="AI1616" i="1"/>
  <c r="AI2287" i="1"/>
  <c r="AI2307" i="1"/>
  <c r="AI2038" i="1"/>
  <c r="AI2426" i="1"/>
  <c r="AI1640" i="1"/>
  <c r="AI2175" i="1"/>
  <c r="AI1447" i="1"/>
  <c r="AI1577" i="1"/>
  <c r="AI2168" i="1"/>
  <c r="AI2136" i="1"/>
  <c r="AI1855" i="1"/>
  <c r="AI2476" i="1"/>
  <c r="AI2572" i="1"/>
  <c r="AI1825" i="1"/>
  <c r="AI1857" i="1"/>
  <c r="AI2420" i="1"/>
  <c r="AI2212" i="1"/>
  <c r="A3" i="1"/>
  <c r="AI2075" i="1"/>
  <c r="AI2504" i="1"/>
  <c r="AI2289" i="1"/>
  <c r="AI1591" i="1"/>
  <c r="AI1869" i="1"/>
  <c r="AI1570" i="1"/>
  <c r="AI1606" i="1"/>
  <c r="AI1336" i="1"/>
  <c r="AI1324" i="1"/>
  <c r="AI1397" i="1"/>
  <c r="AI2173" i="1"/>
  <c r="AI2035" i="1"/>
  <c r="AI2536" i="1"/>
  <c r="AI1649" i="1"/>
  <c r="AI1935" i="1"/>
  <c r="AI1670" i="1"/>
  <c r="AI2567" i="1"/>
  <c r="B3" i="1"/>
  <c r="AI1849" i="1"/>
  <c r="AI1474" i="1"/>
  <c r="AI1879" i="1"/>
  <c r="AI1598" i="1"/>
  <c r="AI2596" i="1"/>
  <c r="AI2605" i="1"/>
  <c r="AI1641" i="1"/>
  <c r="AI2059" i="1"/>
  <c r="AI1441" i="1"/>
  <c r="AI1859" i="1"/>
  <c r="AI1448" i="1"/>
  <c r="AI1572" i="1"/>
  <c r="AI2389" i="1"/>
  <c r="AI2147" i="1"/>
  <c r="AI2625" i="1"/>
  <c r="AI2614" i="1"/>
  <c r="AI2134" i="1"/>
  <c r="X3" i="1"/>
  <c r="AI2071" i="1"/>
  <c r="AI1480" i="1"/>
  <c r="AI2156" i="1"/>
  <c r="AI1909" i="1"/>
  <c r="AI2115" i="1"/>
  <c r="AI1843" i="1"/>
  <c r="AI1687" i="1"/>
  <c r="AI1990" i="1"/>
  <c r="AI2556" i="1"/>
  <c r="AI1453" i="1"/>
  <c r="AC2" i="1"/>
  <c r="AI1654" i="1"/>
  <c r="AI1662" i="1"/>
  <c r="AI2348" i="1"/>
  <c r="AI1907" i="1"/>
  <c r="AI1800" i="1"/>
  <c r="AI2523" i="1"/>
  <c r="AI1780" i="1"/>
  <c r="AI1627" i="1"/>
  <c r="AI1993" i="1"/>
  <c r="B2" i="1"/>
  <c r="AI1797" i="1"/>
  <c r="AI2452" i="1"/>
  <c r="AI2636" i="1"/>
  <c r="AI1742" i="1"/>
  <c r="AI2337" i="1"/>
  <c r="AI2099" i="1"/>
  <c r="AI1922" i="1"/>
  <c r="AI1720" i="1"/>
  <c r="AI1432" i="1"/>
  <c r="AI2221" i="1"/>
  <c r="AI1347" i="1"/>
  <c r="AI2169" i="1"/>
  <c r="AI2499" i="1"/>
  <c r="AI2379" i="1"/>
  <c r="AI1305" i="1"/>
  <c r="AI1673" i="1"/>
  <c r="AI2214" i="1"/>
  <c r="AI1301" i="1"/>
  <c r="AI2158" i="1"/>
  <c r="AI1951" i="1"/>
  <c r="AI2004" i="1"/>
  <c r="AI2151" i="1"/>
  <c r="AI2149" i="1"/>
  <c r="AI2184" i="1"/>
  <c r="AI1661" i="1"/>
  <c r="AI1378" i="1"/>
  <c r="AI2011" i="1"/>
  <c r="AI2322" i="1"/>
  <c r="AI1485" i="1"/>
  <c r="AI1321" i="1"/>
  <c r="AI2451" i="1"/>
  <c r="P2" i="1"/>
  <c r="AI2296" i="1"/>
  <c r="AI1776" i="1"/>
  <c r="AI1972" i="1"/>
  <c r="AI1896" i="1"/>
  <c r="AI1497" i="1"/>
  <c r="AI1659" i="1"/>
  <c r="AI2403" i="1"/>
  <c r="AI1357" i="1"/>
  <c r="AI2116" i="1"/>
  <c r="AI1583" i="1"/>
  <c r="AI2344" i="1"/>
  <c r="AI1527" i="1"/>
  <c r="AI2020" i="1"/>
  <c r="AI2343" i="1"/>
  <c r="AI2293" i="1"/>
  <c r="AI1487" i="1"/>
  <c r="AI1927" i="1"/>
  <c r="AI1663" i="1"/>
  <c r="AI1871" i="1"/>
  <c r="Y2" i="1"/>
  <c r="T2" i="1"/>
  <c r="AI1744" i="1"/>
  <c r="AI2339" i="1"/>
  <c r="AI2100" i="1"/>
  <c r="AI2444" i="1"/>
  <c r="AI1847" i="1"/>
  <c r="AI2146" i="1"/>
  <c r="AI1883" i="1"/>
  <c r="AI1317" i="1"/>
  <c r="AI1366" i="1"/>
  <c r="O2" i="1"/>
  <c r="AI1354" i="1"/>
  <c r="AI2263" i="1"/>
  <c r="AI1509" i="1"/>
  <c r="AI1316" i="1"/>
  <c r="AI1996" i="1"/>
  <c r="AI2127" i="1"/>
  <c r="AI1752" i="1"/>
  <c r="Q2" i="1"/>
  <c r="AI1390" i="1"/>
  <c r="AI1504" i="1"/>
  <c r="B2672" i="1"/>
  <c r="AI2663" i="1"/>
  <c r="AI1844" i="1"/>
  <c r="AI1969" i="1"/>
  <c r="AI1503" i="1"/>
  <c r="AI1976" i="1"/>
  <c r="AI1787" i="1"/>
  <c r="M2" i="1"/>
  <c r="AI1405" i="1"/>
  <c r="AI2656" i="1"/>
  <c r="AI2082" i="1"/>
  <c r="AI2264" i="1"/>
  <c r="AI1579" i="1"/>
  <c r="AI2349" i="1"/>
  <c r="AI2124" i="1"/>
  <c r="AI1691" i="1"/>
  <c r="AI1614" i="1"/>
  <c r="AI2437" i="1"/>
  <c r="AI1396" i="1"/>
  <c r="AI2400" i="1"/>
  <c r="AI2239" i="1"/>
  <c r="AI1793" i="1"/>
  <c r="AI2433" i="1"/>
  <c r="AI2275" i="1"/>
  <c r="AI1359" i="1"/>
  <c r="Y3" i="1"/>
  <c r="AI2532" i="1"/>
  <c r="AI2091" i="1"/>
  <c r="AI1840" i="1"/>
  <c r="AI1726" i="1"/>
  <c r="AI2515" i="1"/>
  <c r="AI2537" i="1"/>
  <c r="AI2262" i="1"/>
  <c r="AI1615" i="1"/>
  <c r="AI1622" i="1"/>
  <c r="I2" i="1"/>
  <c r="L2" i="1"/>
  <c r="AI1779" i="1"/>
  <c r="AI2530" i="1"/>
  <c r="AI1424" i="1"/>
  <c r="AI2644" i="1"/>
  <c r="AI2256" i="1"/>
  <c r="AI2645" i="1"/>
  <c r="AI1443" i="1"/>
  <c r="AI1568" i="1"/>
  <c r="AI1537" i="1"/>
  <c r="N2" i="1"/>
  <c r="AI2129" i="1"/>
  <c r="AI2176" i="1"/>
  <c r="AI1795" i="1"/>
  <c r="AI1596" i="1"/>
  <c r="AI2144" i="1"/>
  <c r="AI2570" i="1"/>
  <c r="AI1352" i="1"/>
  <c r="AI2457" i="1"/>
  <c r="AI2157" i="1"/>
  <c r="AE2" i="1"/>
  <c r="AI2571" i="1"/>
  <c r="AI2503" i="1"/>
  <c r="AI2568" i="1"/>
  <c r="AI2450" i="1"/>
  <c r="AI1957" i="1"/>
  <c r="AI2198" i="1"/>
  <c r="AI2533" i="1"/>
  <c r="AI1741" i="1"/>
  <c r="AI1586" i="1"/>
  <c r="AI1949" i="1"/>
  <c r="AI2243" i="1"/>
  <c r="AI1930" i="1"/>
  <c r="AI2415" i="1"/>
  <c r="AI2202" i="1"/>
  <c r="AI1841" i="1"/>
  <c r="AI1718" i="1"/>
  <c r="AI2037" i="1"/>
  <c r="AI1889" i="1"/>
  <c r="AI2430" i="1"/>
  <c r="AI1439" i="1"/>
  <c r="AI1701" i="1"/>
  <c r="AI1425" i="1"/>
  <c r="AI1919" i="1"/>
  <c r="AI2402" i="1"/>
  <c r="AI1522" i="1"/>
  <c r="AI2048" i="1"/>
  <c r="AI2632" i="1"/>
  <c r="AI1644" i="1"/>
  <c r="AI1454" i="1"/>
  <c r="AI1821" i="1"/>
  <c r="AI2061" i="1"/>
  <c r="AI2431" i="1"/>
  <c r="T2639" i="1"/>
  <c r="AI1908" i="1"/>
  <c r="AI2346" i="1"/>
  <c r="AI2574" i="1"/>
  <c r="AI2088" i="1"/>
  <c r="AI1983" i="1"/>
  <c r="AI1499" i="1"/>
  <c r="AI1592" i="1"/>
  <c r="AI1709" i="1"/>
  <c r="AB2" i="1"/>
  <c r="AI1612" i="1"/>
  <c r="AI1363" i="1"/>
  <c r="AI1764" i="1"/>
  <c r="AI2484" i="1"/>
  <c r="AI2560" i="1"/>
  <c r="AI2480" i="1"/>
  <c r="AI1852" i="1"/>
  <c r="AI2613" i="1"/>
  <c r="AI2487" i="1"/>
  <c r="AI1974" i="1"/>
  <c r="AI1820" i="1"/>
  <c r="AI1429" i="1"/>
  <c r="AI2092" i="1"/>
  <c r="AI2357" i="1"/>
  <c r="AI1369" i="1"/>
  <c r="AI2334" i="1"/>
  <c r="AI2139" i="1"/>
  <c r="AI2427" i="1"/>
  <c r="AH2" i="1"/>
  <c r="AI2318" i="1"/>
  <c r="AI2244" i="1"/>
  <c r="AI1817" i="1"/>
  <c r="AI1541" i="1"/>
  <c r="AI2290" i="1"/>
  <c r="AI1932" i="1"/>
  <c r="AI1399" i="1"/>
  <c r="AI1917" i="1"/>
  <c r="AI1842" i="1"/>
  <c r="H3" i="1"/>
  <c r="AI1306" i="1"/>
  <c r="AI1302" i="1"/>
  <c r="AI1326" i="1"/>
  <c r="AI1412" i="1"/>
  <c r="AI2292" i="1"/>
  <c r="AI1338" i="1"/>
  <c r="AI2023" i="1"/>
  <c r="AI1330" i="1"/>
  <c r="AI2640" i="1"/>
  <c r="AI2525" i="1"/>
  <c r="AI1978" i="1"/>
  <c r="AI2412" i="1"/>
  <c r="AI2508" i="1"/>
  <c r="AI1756" i="1"/>
  <c r="AI1816" i="1"/>
  <c r="AI1727" i="1"/>
  <c r="AI2432" i="1"/>
  <c r="W3" i="1"/>
  <c r="AI2273" i="1"/>
  <c r="AI1738" i="1"/>
  <c r="AI2394" i="1"/>
  <c r="AI1772" i="1"/>
  <c r="AI1544" i="1"/>
  <c r="AI2096" i="1"/>
  <c r="AI2016" i="1"/>
  <c r="AI1575" i="1"/>
  <c r="AI2313" i="1"/>
  <c r="AI3" i="1"/>
  <c r="AI2588" i="1"/>
  <c r="AI1358" i="1"/>
  <c r="AI2055" i="1"/>
  <c r="AI1770" i="1"/>
  <c r="AI2600" i="1"/>
  <c r="AI1365" i="1"/>
  <c r="AI1608" i="1"/>
  <c r="AI2482" i="1"/>
  <c r="AI2534" i="1"/>
  <c r="AI2013" i="1"/>
  <c r="AI1403" i="1"/>
  <c r="AI2486" i="1"/>
  <c r="AI2320" i="1"/>
  <c r="AI1539" i="1"/>
  <c r="AI1307" i="1"/>
  <c r="AI2548" i="1"/>
  <c r="AI2200" i="1"/>
  <c r="AI2520" i="1"/>
  <c r="AI1994" i="1"/>
  <c r="AI1915" i="1"/>
  <c r="G2" i="1"/>
  <c r="AI2328" i="1"/>
  <c r="AI2388" i="1"/>
  <c r="AI1943" i="1"/>
  <c r="AI1674" i="1"/>
  <c r="AI2260" i="1"/>
  <c r="AI1998" i="1"/>
  <c r="AI2089" i="1"/>
  <c r="AI2181" i="1"/>
  <c r="AI2335" i="1"/>
  <c r="N3" i="1"/>
  <c r="AI1618" i="1"/>
  <c r="AI1890" i="1"/>
  <c r="AI2187" i="1"/>
  <c r="AI2391" i="1"/>
  <c r="AI1804" i="1"/>
  <c r="AI2140" i="1"/>
  <c r="AI1846" i="1"/>
  <c r="AI1376" i="1"/>
  <c r="AI2207" i="1"/>
  <c r="AI1605" i="1"/>
  <c r="AI1725" i="1"/>
  <c r="AI1731" i="1"/>
  <c r="AI2501" i="1"/>
  <c r="AI1320" i="1"/>
  <c r="AI1845" i="1"/>
  <c r="AI1585" i="1"/>
  <c r="AI1517" i="1"/>
  <c r="AI1558" i="1"/>
  <c r="AI1407" i="1"/>
  <c r="AI1675" i="1"/>
  <c r="AI1905" i="1"/>
  <c r="AI1784" i="1"/>
  <c r="AI2609" i="1"/>
  <c r="AI1465" i="1"/>
  <c r="AI1634" i="1"/>
  <c r="AI2557" i="1"/>
  <c r="AI2406" i="1"/>
  <c r="AI2069" i="1"/>
  <c r="AI2126" i="1"/>
  <c r="AI2485" i="1"/>
  <c r="AI1493" i="1"/>
  <c r="AI2094" i="1"/>
  <c r="AI2474" i="1"/>
  <c r="AI1300" i="1"/>
  <c r="AI1414" i="1"/>
  <c r="AI1461" i="1"/>
  <c r="AI1877" i="1"/>
  <c r="AI2121" i="1"/>
  <c r="AI2629" i="1"/>
  <c r="AI2234" i="1"/>
  <c r="AI2542" i="1"/>
  <c r="R2" i="1"/>
  <c r="AI2282" i="1"/>
  <c r="AI2111" i="1"/>
  <c r="AI2541" i="1"/>
  <c r="AI1692" i="1"/>
  <c r="AI1854" i="1"/>
  <c r="AI2626" i="1"/>
  <c r="AI1523" i="1"/>
  <c r="AI1819" i="1"/>
  <c r="AI2595" i="1"/>
  <c r="AI2010" i="1"/>
  <c r="AI2623" i="1"/>
  <c r="AI2217" i="1"/>
  <c r="AI1604" i="1"/>
  <c r="AI1567" i="1"/>
  <c r="AI1651" i="1"/>
  <c r="AI2174" i="1"/>
  <c r="AI1387" i="1"/>
  <c r="AI1666" i="1"/>
  <c r="AI1989" i="1"/>
  <c r="AI1478" i="1"/>
  <c r="AI1319" i="1"/>
  <c r="AA2" i="1"/>
  <c r="AI1388" i="1"/>
  <c r="AI1346" i="1"/>
  <c r="AI2641" i="1"/>
  <c r="AI1511" i="1"/>
  <c r="AI1417" i="1"/>
  <c r="AI2294" i="1"/>
  <c r="AI2592" i="1"/>
  <c r="AI2122" i="1"/>
  <c r="AI2461" i="1"/>
  <c r="AI2025" i="1"/>
  <c r="AI1519" i="1"/>
  <c r="AI2386" i="1"/>
  <c r="AI2529" i="1"/>
  <c r="AI2255" i="1"/>
  <c r="AI2084" i="1"/>
  <c r="AI1643" i="1"/>
  <c r="AI1451" i="1"/>
  <c r="AI2620" i="1"/>
  <c r="AI2045" i="1"/>
  <c r="AI1926" i="1"/>
  <c r="AI1929" i="1"/>
  <c r="AI2041" i="1"/>
  <c r="AI2575" i="1"/>
  <c r="AI1812" i="1"/>
  <c r="AI2350" i="1"/>
  <c r="AI1828" i="1"/>
  <c r="AI2464" i="1"/>
  <c r="AI1626" i="1"/>
  <c r="AI1299" i="1"/>
  <c r="AI2648" i="1"/>
  <c r="AI2569" i="1"/>
  <c r="AI2204" i="1"/>
  <c r="AI1959" i="1"/>
  <c r="AI1551" i="1"/>
  <c r="AI1702" i="1"/>
  <c r="AI2222" i="1"/>
  <c r="AH3" i="1"/>
  <c r="AI2573" i="1"/>
  <c r="AI1550" i="1"/>
  <c r="AI2465" i="1"/>
  <c r="AI1528" i="1"/>
  <c r="AI1540" i="1"/>
  <c r="AI1961" i="1"/>
  <c r="AI1767" i="1"/>
  <c r="AI2049" i="1"/>
  <c r="AI1760" i="1"/>
  <c r="AI2555" i="1"/>
  <c r="AI2404" i="1"/>
  <c r="AI2409" i="1"/>
  <c r="AI1785" i="1"/>
  <c r="AI1808" i="1"/>
  <c r="AI1392" i="1"/>
  <c r="AI2601" i="1"/>
  <c r="AI2213" i="1"/>
  <c r="AI2419" i="1"/>
  <c r="AI1791" i="1"/>
  <c r="AA3" i="1"/>
  <c r="AI1942" i="1"/>
  <c r="S3" i="1"/>
  <c r="AI1595" i="1"/>
  <c r="AI2616" i="1"/>
</calcChain>
</file>

<file path=xl/sharedStrings.xml><?xml version="1.0" encoding="utf-8"?>
<sst xmlns="http://schemas.openxmlformats.org/spreadsheetml/2006/main" count="40" uniqueCount="34">
  <si>
    <t>№</t>
  </si>
  <si>
    <t xml:space="preserve">Тип СИ в реестре ФИФ ОЕИ </t>
  </si>
  <si>
    <t>Модификация СИ</t>
  </si>
  <si>
    <t xml:space="preserve">Заводской № </t>
  </si>
  <si>
    <t xml:space="preserve">Владелец СИ </t>
  </si>
  <si>
    <t>Дата поверки</t>
  </si>
  <si>
    <t xml:space="preserve">Действительна до </t>
  </si>
  <si>
    <t>Документ на методику поверки</t>
  </si>
  <si>
    <t>Тип поверки</t>
  </si>
  <si>
    <t>"Пригодно/Непригодно"</t>
  </si>
  <si>
    <t>Причина непригодности</t>
  </si>
  <si>
    <t>ФИО поверителя</t>
  </si>
  <si>
    <t>№ СИ по перечню</t>
  </si>
  <si>
    <t>Регистрационный № типа СИ</t>
  </si>
  <si>
    <t>Заводской номер</t>
  </si>
  <si>
    <t>Температур</t>
  </si>
  <si>
    <t>Атмосферное давление</t>
  </si>
  <si>
    <t>Относительная влажность</t>
  </si>
  <si>
    <t>Тип аккредитованного лица</t>
  </si>
  <si>
    <t>Уникальный номер записи об аккредитации в реестре аккредитованных лиц:</t>
  </si>
  <si>
    <t>Контактные данные</t>
  </si>
  <si>
    <t>Регистрационный номер типа средства измерений в Федеральном информационном фонде по обеспечению единства измерений</t>
  </si>
  <si>
    <t>Дата результата поверки средств измерений</t>
  </si>
  <si>
    <t>Срок действия:</t>
  </si>
  <si>
    <t>Тип поверяемого средства измерения</t>
  </si>
  <si>
    <t>Результат поверки</t>
  </si>
  <si>
    <t>Фамилия поверителя</t>
  </si>
  <si>
    <t>Имя поверителя</t>
  </si>
  <si>
    <t>Отчество поверителя</t>
  </si>
  <si>
    <t>https://github.com/AlexAkatyev/InterFIF/blob/main/interfif.py</t>
  </si>
  <si>
    <t>СНИЛС поверителя</t>
  </si>
  <si>
    <t>Номер протокола в Аршине</t>
  </si>
  <si>
    <t>Дополнительная информация в Аршин</t>
  </si>
  <si>
    <t>сюда писать причину причину изменения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</si>
</sst>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"/>
    <numFmt numFmtId="165" formatCode="0.0000"/>
    <numFmt numFmtId="166" formatCode="0.00000"/>
  </numFmts>
  <fonts count="6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rgb="FF434343"/>
      <name val="Arial"/>
      <family val="2"/>
      <charset val="204"/>
    </font>
    <font>
      <sz val="12"/>
      <color rgb="FF212529"/>
      <name val="&quot;Times New Roman&quot;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164" fontId="4" fillId="0" borderId="0" xfId="0" applyNumberFormat="1" applyFont="1"/>
    <xf numFmtId="14" fontId="4" fillId="0" borderId="0" xfId="0" applyNumberFormat="1" applyFont="1"/>
    <xf numFmtId="0" fontId="4" fillId="0" borderId="0" xfId="0" applyFont="1" applyAlignment="1">
      <alignment horizontal="center"/>
    </xf>
    <xf numFmtId="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  <xf numFmtId="164" fontId="4" fillId="0" borderId="0" xfId="0" applyNumberFormat="1" applyFont="1" applyAlignment="1"/>
    <xf numFmtId="0" fontId="5" fillId="0" borderId="0" xfId="0" applyFont="1" applyAlignme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/>
    <xf numFmtId="14" fontId="4" fillId="4" borderId="0" xfId="0" applyNumberFormat="1" applyFont="1" applyFill="1"/>
    <xf numFmtId="166" fontId="4" fillId="4" borderId="0" xfId="0" applyNumberFormat="1" applyFont="1" applyFill="1"/>
    <xf numFmtId="0" fontId="0" fillId="4" borderId="0" xfId="0" applyFont="1" applyFill="1" applyAlignment="1"/>
    <xf numFmtId="49" fontId="4" fillId="4" borderId="0" xfId="0" applyNumberFormat="1" applyFont="1" applyFill="1" applyAlignment="1">
      <alignment horizontal="center"/>
    </xf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exAkatyev/InterFIF/blob/main/interfif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3004"/>
  <sheetViews>
    <sheetView tabSelected="1" topLeftCell="AB1" workbookViewId="0">
      <pane ySplit="1" topLeftCell="A2" activePane="bottomLeft" state="frozen"/>
      <selection pane="bottomLeft" activeCell="AL9" sqref="AL9"/>
    </sheetView>
  </sheetViews>
  <sheetFormatPr defaultColWidth="12.5703125" defaultRowHeight="15.75" customHeight="1"/>
  <cols>
    <col min="1" max="1" width="16.42578125" customWidth="1"/>
    <col min="3" max="3" width="18.42578125" customWidth="1"/>
    <col min="38" max="38" width="43.7109375" customWidth="1"/>
  </cols>
  <sheetData>
    <row r="1" spans="1:38" ht="5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13</v>
      </c>
      <c r="Q1" s="2" t="s">
        <v>14</v>
      </c>
      <c r="R1" s="4" t="s">
        <v>13</v>
      </c>
      <c r="S1" s="4" t="s">
        <v>14</v>
      </c>
      <c r="T1" s="4" t="s">
        <v>13</v>
      </c>
      <c r="U1" s="4" t="s">
        <v>14</v>
      </c>
      <c r="V1" s="2" t="s">
        <v>15</v>
      </c>
      <c r="W1" s="2" t="s">
        <v>16</v>
      </c>
      <c r="X1" s="2" t="s">
        <v>17</v>
      </c>
      <c r="Y1" s="5" t="s">
        <v>18</v>
      </c>
      <c r="Z1" s="5" t="s">
        <v>19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25" t="s">
        <v>30</v>
      </c>
      <c r="AK1" s="25" t="s">
        <v>31</v>
      </c>
      <c r="AL1" s="25" t="s">
        <v>32</v>
      </c>
    </row>
    <row r="2" spans="1:38" s="23" customFormat="1" ht="12.75">
      <c r="A2" s="18" t="str">
        <f ca="1">IFERROR(__xludf.DUMMYFUNCTION("""COMPUTED_VALUE"""),"2025-ГАЗ-2-1831")</f>
        <v>2025-ГАЗ-2-1831</v>
      </c>
      <c r="B2" s="18" t="str">
        <f ca="1">IFERROR(__xludf.DUMMYFUNCTION("""COMPUTED_VALUE"""),"49360-12")</f>
        <v>49360-12</v>
      </c>
      <c r="C2" s="18" t="str">
        <f ca="1">IFERROR(__xludf.DUMMYFUNCTION("""COMPUTED_VALUE"""),"NPM-G4")</f>
        <v>NPM-G4</v>
      </c>
      <c r="D2" s="19">
        <f ca="1">IFERROR(__xludf.DUMMYFUNCTION("""COMPUTED_VALUE"""),5850963)</f>
        <v>5850963</v>
      </c>
      <c r="E2" s="18" t="str">
        <f ca="1">IFERROR(__xludf.DUMMYFUNCTION("""COMPUTED_VALUE"""),"Физ. лицо")</f>
        <v>Физ. лицо</v>
      </c>
      <c r="F2" s="20">
        <f ca="1">IFERROR(__xludf.DUMMYFUNCTION("""COMPUTED_VALUE"""),45901.3569444444)</f>
        <v>45901.3569444444</v>
      </c>
      <c r="G2" s="21">
        <f ca="1">IFERROR(__xludf.DUMMYFUNCTION("""COMPUTED_VALUE"""),49552)</f>
        <v>49552</v>
      </c>
      <c r="H2" s="18" t="str">
        <f ca="1">IFERROR(__xludf.DUMMYFUNCTION("""COMPUTED_VALUE"""),"ГОСТ 8.324-2002")</f>
        <v>ГОСТ 8.324-2002</v>
      </c>
      <c r="I2" s="18" t="str">
        <f ca="1">IFERROR(__xludf.DUMMYFUNCTION("""COMPUTED_VALUE"""),"Периодическая")</f>
        <v>Периодическая</v>
      </c>
      <c r="J2" s="18" t="str">
        <f ca="1">IFERROR(__xludf.DUMMYFUNCTION("""COMPUTED_VALUE"""),"Пригодно")</f>
        <v>Пригодно</v>
      </c>
      <c r="K2" s="18" t="str">
        <f ca="1">IFERROR(__xludf.DUMMYFUNCTION("""COMPUTED_VALUE"""),"")</f>
        <v/>
      </c>
      <c r="L2" s="18" t="str">
        <f ca="1">IFERROR(__xludf.DUMMYFUNCTION("""COMPUTED_VALUE"""),"Иванов И.И.")</f>
        <v>Иванов И.И.</v>
      </c>
      <c r="M2" s="18" t="str">
        <f ca="1">IFERROR(__xludf.DUMMYFUNCTION("""COMPUTED_VALUE"""),"78995.20.1Р.01109802  Эталон единиц объемного расхода газа 1 разряда. Установка поверочная «Краб-УМ»")</f>
        <v>78995.20.1Р.01109802  Эталон единиц объемного расхода газа 1 разряда. Установка поверочная «Краб-УМ»</v>
      </c>
      <c r="N2" s="18" t="str">
        <f ca="1">IFERROR(__xludf.DUMMYFUNCTION("""COMPUTED_VALUE"""),"82393-21 ИВА-6 модификации ИВА-6Н")</f>
        <v>82393-21 ИВА-6 модификации ИВА-6Н</v>
      </c>
      <c r="O2" s="18">
        <f ca="1">IFERROR(__xludf.DUMMYFUNCTION("""COMPUTED_VALUE"""),33739)</f>
        <v>33739</v>
      </c>
      <c r="P2" s="18" t="str">
        <f ca="1">IFERROR(__xludf.DUMMYFUNCTION("""COMPUTED_VALUE"""),"86974-22 VA-MN8070 Манометры абсолютного давления ")</f>
        <v xml:space="preserve">86974-22 VA-MN8070 Манометры абсолютного давления </v>
      </c>
      <c r="Q2" s="18">
        <f ca="1">IFERROR(__xludf.DUMMYFUNCTION("""COMPUTED_VALUE"""),62302019418)</f>
        <v>62302019418</v>
      </c>
      <c r="R2" s="18" t="str">
        <f ca="1">IFERROR(__xludf.DUMMYFUNCTION("""COMPUTED_VALUE"""),"53431-13 Testo 510, Testo 511 Измерители давления")</f>
        <v>53431-13 Testo 510, Testo 511 Измерители давления</v>
      </c>
      <c r="S2" s="18" t="str">
        <f ca="1">IFERROR(__xludf.DUMMYFUNCTION("""COMPUTED_VALUE"""),"46557892/0822")</f>
        <v>46557892/0822</v>
      </c>
      <c r="T2" s="18" t="str">
        <f ca="1">IFERROR(__xludf.DUMMYFUNCTION("""COMPUTED_VALUE"""),"44154-20 Интеграл С-01 Секундомеры электронные")</f>
        <v>44154-20 Интеграл С-01 Секундомеры электронные</v>
      </c>
      <c r="U2" s="18">
        <f ca="1">IFERROR(__xludf.DUMMYFUNCTION("""COMPUTED_VALUE"""),459480)</f>
        <v>459480</v>
      </c>
      <c r="V2" s="18">
        <f ca="1">IFERROR(__xludf.DUMMYFUNCTION("""COMPUTED_VALUE"""),24)</f>
        <v>24</v>
      </c>
      <c r="W2" s="18">
        <f ca="1">IFERROR(__xludf.DUMMYFUNCTION("""COMPUTED_VALUE"""),88)</f>
        <v>88</v>
      </c>
      <c r="X2" s="18">
        <f ca="1">IFERROR(__xludf.DUMMYFUNCTION("""COMPUTED_VALUE"""),42)</f>
        <v>42</v>
      </c>
      <c r="Y2" s="18" t="str">
        <f ca="1">IFERROR(__xludf.DUMMYFUNCTION("""COMPUTED_VALUE"""),"Лица, аккредитованные на поверку средств измерений")</f>
        <v>Лица, аккредитованные на поверку средств измерений</v>
      </c>
      <c r="Z2" s="18">
        <f ca="1">IFERROR(__xludf.DUMMYFUNCTION("""COMPUTED_VALUE"""),313741)</f>
        <v>313741</v>
      </c>
      <c r="AA2" s="18" t="str">
        <f ca="1">IFERROR(__xludf.DUMMYFUNCTION("""COMPUTED_VALUE"""),"poverka@udmucs.ru")</f>
        <v>poverka@udmucs.ru</v>
      </c>
      <c r="AB2" s="18" t="str">
        <f ca="1">IFERROR(__xludf.DUMMYFUNCTION("""COMPUTED_VALUE"""),"49360-12")</f>
        <v>49360-12</v>
      </c>
      <c r="AC2" s="20">
        <f ca="1">IFERROR(__xludf.DUMMYFUNCTION("""COMPUTED_VALUE"""),45901.3569444444)</f>
        <v>45901.3569444444</v>
      </c>
      <c r="AD2" s="21">
        <f ca="1">IFERROR(__xludf.DUMMYFUNCTION("""COMPUTED_VALUE"""),49552)</f>
        <v>49552</v>
      </c>
      <c r="AE2" s="18" t="str">
        <f ca="1">IFERROR(__xludf.DUMMYFUNCTION("""COMPUTED_VALUE"""),"NPM-G4")</f>
        <v>NPM-G4</v>
      </c>
      <c r="AF2" s="22" t="str">
        <f ca="1">IFERROR(__xludf.DUMMYFUNCTION("""COMPUTED_VALUE"""),"Годен")</f>
        <v>Годен</v>
      </c>
      <c r="AG2" s="18" t="str">
        <f ca="1">IFERROR(__xludf.DUMMYFUNCTION("""COMPUTED_VALUE"""),"Иванов ")</f>
        <v xml:space="preserve">Иванов </v>
      </c>
      <c r="AH2" s="18" t="str">
        <f ca="1">IFERROR(__xludf.DUMMYFUNCTION("""COMPUTED_VALUE"""),"Иван")</f>
        <v>Иван</v>
      </c>
      <c r="AI2" s="18" t="str">
        <f ca="1">IFERROR(__xludf.DUMMYFUNCTION("""COMPUTED_VALUE"""),"Васильевич")</f>
        <v>Васильевич</v>
      </c>
      <c r="AJ2" s="25"/>
      <c r="AK2" s="25"/>
      <c r="AL2" s="25" t="s">
        <v>33</v>
      </c>
    </row>
    <row r="3" spans="1:38" ht="12.75">
      <c r="A3" s="6" t="str">
        <f ca="1">IFERROR(__xludf.DUMMYFUNCTION("""COMPUTED_VALUE"""),"2025-ГАЗ-4-1613")</f>
        <v>2025-ГАЗ-4-1613</v>
      </c>
      <c r="B3" s="6" t="str">
        <f ca="1">IFERROR(__xludf.DUMMYFUNCTION("""COMPUTED_VALUE"""),"49360-12")</f>
        <v>49360-12</v>
      </c>
      <c r="C3" s="6" t="str">
        <f ca="1">IFERROR(__xludf.DUMMYFUNCTION("""COMPUTED_VALUE"""),"NPM-G4")</f>
        <v>NPM-G4</v>
      </c>
      <c r="D3" s="7" t="str">
        <f ca="1">IFERROR(__xludf.DUMMYFUNCTION("""COMPUTED_VALUE"""),"5772064")</f>
        <v>5772064</v>
      </c>
      <c r="E3" s="6" t="str">
        <f ca="1">IFERROR(__xludf.DUMMYFUNCTION("""COMPUTED_VALUE"""),"Физ. лицо")</f>
        <v>Физ. лицо</v>
      </c>
      <c r="F3" s="8">
        <f ca="1">IFERROR(__xludf.DUMMYFUNCTION("""COMPUTED_VALUE"""),45901.3618055555)</f>
        <v>45901.361805555498</v>
      </c>
      <c r="G3" s="9">
        <f ca="1">IFERROR(__xludf.DUMMYFUNCTION("""COMPUTED_VALUE"""),49552)</f>
        <v>49552</v>
      </c>
      <c r="H3" s="6" t="str">
        <f ca="1">IFERROR(__xludf.DUMMYFUNCTION("""COMPUTED_VALUE"""),"ГОСТ 8.324-2002")</f>
        <v>ГОСТ 8.324-2002</v>
      </c>
      <c r="I3" s="6" t="str">
        <f ca="1">IFERROR(__xludf.DUMMYFUNCTION("""COMPUTED_VALUE"""),"Периодическая")</f>
        <v>Периодическая</v>
      </c>
      <c r="J3" s="6" t="str">
        <f ca="1">IFERROR(__xludf.DUMMYFUNCTION("""COMPUTED_VALUE"""),"Пригодно")</f>
        <v>Пригодно</v>
      </c>
      <c r="K3" s="6" t="str">
        <f ca="1">IFERROR(__xludf.DUMMYFUNCTION("""COMPUTED_VALUE"""),"")</f>
        <v/>
      </c>
      <c r="L3" s="6" t="str">
        <f ca="1">IFERROR(__xludf.DUMMYFUNCTION("""COMPUTED_VALUE"""),"Иванов И.И.")</f>
        <v>Иванов И.И.</v>
      </c>
      <c r="M3" s="6" t="str">
        <f ca="1">IFERROR(__xludf.DUMMYFUNCTION("""COMPUTED_VALUE"""),"65287.16.1Р.01247878 Эталон единиц объемного расхода газа 1 разряда. Установка поверочная СПУ-3М-16-Б-185")</f>
        <v>65287.16.1Р.01247878 Эталон единиц объемного расхода газа 1 разряда. Установка поверочная СПУ-3М-16-Б-185</v>
      </c>
      <c r="N3" s="6" t="str">
        <f ca="1">IFERROR(__xludf.DUMMYFUNCTION("""COMPUTED_VALUE"""),"32014-11 Метеоскоп-М Измерители параметров микроклимата ")</f>
        <v xml:space="preserve">32014-11 Метеоскоп-М Измерители параметров микроклимата </v>
      </c>
      <c r="O3" s="6">
        <f ca="1">IFERROR(__xludf.DUMMYFUNCTION("""COMPUTED_VALUE"""),329418)</f>
        <v>329418</v>
      </c>
      <c r="P3" s="6" t="str">
        <f ca="1">IFERROR(__xludf.DUMMYFUNCTION("""COMPUTED_VALUE"""),"93402-24  RGK SWE-02 Секундомеры электронные ")</f>
        <v xml:space="preserve">93402-24  RGK SWE-02 Секундомеры электронные </v>
      </c>
      <c r="Q3" s="6">
        <f ca="1">IFERROR(__xludf.DUMMYFUNCTION("""COMPUTED_VALUE"""),24105629)</f>
        <v>24105629</v>
      </c>
      <c r="R3" s="6" t="str">
        <f ca="1">IFERROR(__xludf.DUMMYFUNCTION("""COMPUTED_VALUE"""),"53431-13 Testo 510, Testo 511 Измерители давления")</f>
        <v>53431-13 Testo 510, Testo 511 Измерители давления</v>
      </c>
      <c r="S3" s="6" t="str">
        <f ca="1">IFERROR(__xludf.DUMMYFUNCTION("""COMPUTED_VALUE"""),"51560818/0297")</f>
        <v>51560818/0297</v>
      </c>
      <c r="T3" s="6" t="str">
        <f ca="1">IFERROR(__xludf.DUMMYFUNCTION("""COMPUTED_VALUE"""),"86974-22 VA-MN8070 Манометры абсолютного давления 
")</f>
        <v xml:space="preserve">86974-22 VA-MN8070 Манометры абсолютного давления 
</v>
      </c>
      <c r="U3" s="6">
        <f ca="1">IFERROR(__xludf.DUMMYFUNCTION("""COMPUTED_VALUE"""),62302019413)</f>
        <v>62302019413</v>
      </c>
      <c r="V3" s="6">
        <f ca="1">IFERROR(__xludf.DUMMYFUNCTION("""COMPUTED_VALUE"""),24)</f>
        <v>24</v>
      </c>
      <c r="W3" s="6">
        <f ca="1">IFERROR(__xludf.DUMMYFUNCTION("""COMPUTED_VALUE"""),92)</f>
        <v>92</v>
      </c>
      <c r="X3" s="6">
        <f ca="1">IFERROR(__xludf.DUMMYFUNCTION("""COMPUTED_VALUE"""),39)</f>
        <v>39</v>
      </c>
      <c r="Y3" s="6" t="str">
        <f ca="1">IFERROR(__xludf.DUMMYFUNCTION("""COMPUTED_VALUE"""),"Лица, аккредитованные на поверку средств измерений")</f>
        <v>Лица, аккредитованные на поверку средств измерений</v>
      </c>
      <c r="Z3" s="6">
        <f ca="1">IFERROR(__xludf.DUMMYFUNCTION("""COMPUTED_VALUE"""),313741)</f>
        <v>313741</v>
      </c>
      <c r="AA3" s="6" t="str">
        <f ca="1">IFERROR(__xludf.DUMMYFUNCTION("""COMPUTED_VALUE"""),"poverka@udmucs.ru")</f>
        <v>poverka@udmucs.ru</v>
      </c>
      <c r="AB3" s="6" t="str">
        <f ca="1">IFERROR(__xludf.DUMMYFUNCTION("""COMPUTED_VALUE"""),"49360-12")</f>
        <v>49360-12</v>
      </c>
      <c r="AC3" s="8">
        <f ca="1">IFERROR(__xludf.DUMMYFUNCTION("""COMPUTED_VALUE"""),45901.3618055555)</f>
        <v>45901.361805555498</v>
      </c>
      <c r="AD3" s="9">
        <f ca="1">IFERROR(__xludf.DUMMYFUNCTION("""COMPUTED_VALUE"""),49552)</f>
        <v>49552</v>
      </c>
      <c r="AE3" s="6" t="str">
        <f ca="1">IFERROR(__xludf.DUMMYFUNCTION("""COMPUTED_VALUE"""),"NPM-G4")</f>
        <v>NPM-G4</v>
      </c>
      <c r="AF3" s="6" t="str">
        <f ca="1">IFERROR(__xludf.DUMMYFUNCTION("""COMPUTED_VALUE"""),"Годен")</f>
        <v>Годен</v>
      </c>
      <c r="AG3" s="6" t="str">
        <f ca="1">IFERROR(__xludf.DUMMYFUNCTION("""COMPUTED_VALUE"""),"Иванов")</f>
        <v>Иванов</v>
      </c>
      <c r="AH3" s="6" t="str">
        <f ca="1">IFERROR(__xludf.DUMMYFUNCTION("""COMPUTED_VALUE"""),"Иван")</f>
        <v>Иван</v>
      </c>
      <c r="AI3" s="6" t="str">
        <f ca="1">IFERROR(__xludf.DUMMYFUNCTION("""COMPUTED_VALUE"""),"Николаевич")</f>
        <v>Николаевич</v>
      </c>
    </row>
    <row r="4" spans="1:38" ht="12.75">
      <c r="A4" s="6"/>
      <c r="B4" s="6"/>
      <c r="C4" s="6"/>
      <c r="D4" s="7"/>
      <c r="E4" s="6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8"/>
      <c r="AD4" s="9"/>
      <c r="AE4" s="6"/>
      <c r="AF4" s="6"/>
      <c r="AG4" s="6"/>
      <c r="AH4" s="6"/>
      <c r="AI4" s="6"/>
    </row>
    <row r="5" spans="1:38" ht="12.75">
      <c r="A5" s="6"/>
      <c r="B5" s="6"/>
      <c r="C5" s="6"/>
      <c r="D5" s="10"/>
      <c r="E5" s="6"/>
      <c r="F5" s="8"/>
      <c r="G5" s="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8"/>
      <c r="AD5" s="9"/>
      <c r="AE5" s="6"/>
      <c r="AF5" s="13"/>
      <c r="AG5" s="6"/>
      <c r="AH5" s="6"/>
      <c r="AI5" s="6"/>
    </row>
    <row r="6" spans="1:38" ht="12.75">
      <c r="A6" s="6"/>
      <c r="B6" s="6"/>
      <c r="C6" s="6"/>
      <c r="D6" s="7"/>
      <c r="E6" s="6"/>
      <c r="F6" s="8"/>
      <c r="G6" s="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8"/>
      <c r="AD6" s="9"/>
      <c r="AE6" s="6"/>
      <c r="AF6" s="6"/>
      <c r="AG6" s="6"/>
      <c r="AH6" s="6"/>
      <c r="AI6" s="6"/>
    </row>
    <row r="7" spans="1:38" ht="12.75">
      <c r="A7" s="6"/>
      <c r="B7" s="6"/>
      <c r="C7" s="6"/>
      <c r="D7" s="7"/>
      <c r="E7" s="6"/>
      <c r="F7" s="8"/>
      <c r="G7" s="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"/>
      <c r="AD7" s="9"/>
      <c r="AE7" s="6"/>
      <c r="AF7" s="6"/>
      <c r="AG7" s="6"/>
      <c r="AH7" s="6"/>
      <c r="AI7" s="6"/>
    </row>
    <row r="8" spans="1:38" ht="12.75">
      <c r="A8" s="6"/>
      <c r="B8" s="6"/>
      <c r="C8" s="6"/>
      <c r="D8" s="10"/>
      <c r="E8" s="6"/>
      <c r="F8" s="8"/>
      <c r="G8" s="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8"/>
      <c r="AD8" s="9"/>
      <c r="AE8" s="6"/>
      <c r="AF8" s="13"/>
      <c r="AG8" s="6"/>
      <c r="AH8" s="6"/>
      <c r="AI8" s="6"/>
    </row>
    <row r="9" spans="1:38" ht="12.75">
      <c r="A9" s="6"/>
      <c r="B9" s="6"/>
      <c r="C9" s="6"/>
      <c r="D9" s="7"/>
      <c r="E9" s="6"/>
      <c r="F9" s="8"/>
      <c r="G9" s="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8"/>
      <c r="AD9" s="9"/>
      <c r="AE9" s="6"/>
      <c r="AF9" s="6"/>
      <c r="AG9" s="6"/>
      <c r="AH9" s="6"/>
      <c r="AI9" s="6"/>
    </row>
    <row r="10" spans="1:38" ht="12.75">
      <c r="A10" s="6"/>
      <c r="B10" s="6"/>
      <c r="C10" s="6"/>
      <c r="D10" s="10"/>
      <c r="E10" s="6"/>
      <c r="F10" s="8"/>
      <c r="G10" s="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8"/>
      <c r="AD10" s="9"/>
      <c r="AE10" s="6"/>
      <c r="AF10" s="13"/>
      <c r="AG10" s="6"/>
      <c r="AH10" s="6"/>
      <c r="AI10" s="6"/>
    </row>
    <row r="11" spans="1:38" ht="12.75">
      <c r="A11" s="6"/>
      <c r="B11" s="6"/>
      <c r="C11" s="6"/>
      <c r="D11" s="7"/>
      <c r="E11" s="6"/>
      <c r="F11" s="8"/>
      <c r="G11" s="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8"/>
      <c r="AD11" s="9"/>
      <c r="AE11" s="6"/>
      <c r="AF11" s="6"/>
      <c r="AG11" s="6"/>
      <c r="AH11" s="6"/>
      <c r="AI11" s="6"/>
    </row>
    <row r="12" spans="1:38" ht="12.75">
      <c r="A12" s="6"/>
      <c r="B12" s="6"/>
      <c r="C12" s="6"/>
      <c r="D12" s="10"/>
      <c r="E12" s="6"/>
      <c r="F12" s="8"/>
      <c r="G12" s="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8"/>
      <c r="AD12" s="9"/>
      <c r="AE12" s="6"/>
      <c r="AF12" s="13"/>
      <c r="AG12" s="6"/>
      <c r="AH12" s="6"/>
      <c r="AI12" s="6"/>
    </row>
    <row r="13" spans="1:38" ht="12.75">
      <c r="A13" s="6"/>
      <c r="B13" s="6"/>
      <c r="C13" s="6"/>
      <c r="D13" s="7"/>
      <c r="E13" s="6"/>
      <c r="F13" s="8"/>
      <c r="G13" s="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"/>
      <c r="AD13" s="9"/>
      <c r="AE13" s="6"/>
      <c r="AF13" s="6"/>
      <c r="AG13" s="6"/>
      <c r="AH13" s="6"/>
      <c r="AI13" s="6"/>
    </row>
    <row r="14" spans="1:38" ht="12.75">
      <c r="A14" s="6"/>
      <c r="B14" s="6"/>
      <c r="C14" s="6"/>
      <c r="D14" s="10"/>
      <c r="E14" s="6"/>
      <c r="F14" s="8"/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8"/>
      <c r="AD14" s="9"/>
      <c r="AE14" s="6"/>
      <c r="AF14" s="13"/>
      <c r="AG14" s="6"/>
      <c r="AH14" s="6"/>
      <c r="AI14" s="6"/>
    </row>
    <row r="15" spans="1:38" ht="12.75">
      <c r="A15" s="6"/>
      <c r="B15" s="6"/>
      <c r="C15" s="6"/>
      <c r="D15" s="7"/>
      <c r="E15" s="6"/>
      <c r="F15" s="8"/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8"/>
      <c r="AD15" s="9"/>
      <c r="AE15" s="6"/>
      <c r="AF15" s="6"/>
      <c r="AG15" s="6"/>
      <c r="AH15" s="6"/>
      <c r="AI15" s="6"/>
    </row>
    <row r="16" spans="1:38" ht="12.75">
      <c r="A16" s="6"/>
      <c r="B16" s="6"/>
      <c r="C16" s="6"/>
      <c r="D16" s="10"/>
      <c r="E16" s="6"/>
      <c r="F16" s="8"/>
      <c r="G16" s="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8"/>
      <c r="AD16" s="9"/>
      <c r="AE16" s="6"/>
      <c r="AF16" s="13"/>
      <c r="AG16" s="6"/>
      <c r="AH16" s="6"/>
      <c r="AI16" s="6"/>
    </row>
    <row r="17" spans="1:35" ht="12.75">
      <c r="A17" s="6"/>
      <c r="B17" s="6"/>
      <c r="C17" s="6"/>
      <c r="D17" s="7"/>
      <c r="E17" s="6"/>
      <c r="F17" s="8"/>
      <c r="G17" s="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8"/>
      <c r="AD17" s="9"/>
      <c r="AE17" s="6"/>
      <c r="AF17" s="6"/>
      <c r="AG17" s="6"/>
      <c r="AH17" s="6"/>
      <c r="AI17" s="6"/>
    </row>
    <row r="18" spans="1:35" ht="12.75">
      <c r="A18" s="6"/>
      <c r="B18" s="6"/>
      <c r="C18" s="6"/>
      <c r="D18" s="10"/>
      <c r="E18" s="6"/>
      <c r="F18" s="8"/>
      <c r="G18" s="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8"/>
      <c r="AD18" s="9"/>
      <c r="AE18" s="6"/>
      <c r="AF18" s="13"/>
      <c r="AG18" s="6"/>
      <c r="AH18" s="6"/>
      <c r="AI18" s="6"/>
    </row>
    <row r="19" spans="1:35" ht="12.75">
      <c r="A19" s="6"/>
      <c r="B19" s="6"/>
      <c r="C19" s="6"/>
      <c r="D19" s="10"/>
      <c r="E19" s="6"/>
      <c r="F19" s="8"/>
      <c r="G19" s="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8"/>
      <c r="AD19" s="9"/>
      <c r="AE19" s="6"/>
      <c r="AF19" s="13"/>
      <c r="AG19" s="6"/>
      <c r="AH19" s="6"/>
      <c r="AI19" s="6"/>
    </row>
    <row r="20" spans="1:35" ht="12.75">
      <c r="A20" s="6"/>
      <c r="B20" s="6"/>
      <c r="C20" s="6"/>
      <c r="D20" s="10"/>
      <c r="E20" s="6"/>
      <c r="F20" s="8"/>
      <c r="G20" s="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8"/>
      <c r="AD20" s="9"/>
      <c r="AE20" s="6"/>
      <c r="AF20" s="13"/>
      <c r="AG20" s="6"/>
      <c r="AH20" s="6"/>
      <c r="AI20" s="6"/>
    </row>
    <row r="21" spans="1:35" ht="12.75">
      <c r="A21" s="6"/>
      <c r="B21" s="6"/>
      <c r="C21" s="6"/>
      <c r="D21" s="10"/>
      <c r="E21" s="6"/>
      <c r="F21" s="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8"/>
      <c r="AD21" s="6"/>
      <c r="AE21" s="6"/>
      <c r="AF21" s="13"/>
      <c r="AG21" s="6"/>
      <c r="AH21" s="6"/>
      <c r="AI21" s="6"/>
    </row>
    <row r="22" spans="1:35" ht="12.75">
      <c r="A22" s="6"/>
      <c r="B22" s="6"/>
      <c r="C22" s="6"/>
      <c r="D22" s="7"/>
      <c r="E22" s="6"/>
      <c r="F22" s="8"/>
      <c r="G22" s="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8"/>
      <c r="AD22" s="9"/>
      <c r="AE22" s="6"/>
      <c r="AF22" s="6"/>
      <c r="AG22" s="6"/>
      <c r="AH22" s="6"/>
      <c r="AI22" s="6"/>
    </row>
    <row r="23" spans="1:35" ht="12.75">
      <c r="A23" s="6"/>
      <c r="B23" s="6"/>
      <c r="C23" s="6"/>
      <c r="D23" s="7"/>
      <c r="E23" s="6"/>
      <c r="F23" s="8"/>
      <c r="G23" s="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8"/>
      <c r="AD23" s="9"/>
      <c r="AE23" s="6"/>
      <c r="AF23" s="6"/>
      <c r="AG23" s="6"/>
      <c r="AH23" s="6"/>
      <c r="AI23" s="6"/>
    </row>
    <row r="24" spans="1:35" ht="12.75">
      <c r="A24" s="6"/>
      <c r="B24" s="6"/>
      <c r="C24" s="6"/>
      <c r="D24" s="10"/>
      <c r="E24" s="6"/>
      <c r="F24" s="8"/>
      <c r="G24" s="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8"/>
      <c r="AD24" s="9"/>
      <c r="AE24" s="6"/>
      <c r="AF24" s="13"/>
      <c r="AG24" s="6"/>
      <c r="AH24" s="6"/>
      <c r="AI24" s="6"/>
    </row>
    <row r="25" spans="1:35" ht="12.75">
      <c r="A25" s="6"/>
      <c r="B25" s="6"/>
      <c r="C25" s="6"/>
      <c r="D25" s="10"/>
      <c r="E25" s="6"/>
      <c r="F25" s="8"/>
      <c r="G25" s="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8"/>
      <c r="AD25" s="9"/>
      <c r="AE25" s="6"/>
      <c r="AF25" s="13"/>
      <c r="AG25" s="6"/>
      <c r="AH25" s="6"/>
      <c r="AI25" s="6"/>
    </row>
    <row r="26" spans="1:35" ht="12.75">
      <c r="A26" s="6"/>
      <c r="B26" s="6"/>
      <c r="C26" s="6"/>
      <c r="D26" s="7"/>
      <c r="E26" s="6"/>
      <c r="F26" s="8"/>
      <c r="G26" s="9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8"/>
      <c r="AD26" s="9"/>
      <c r="AE26" s="6"/>
      <c r="AF26" s="6"/>
      <c r="AG26" s="6"/>
      <c r="AH26" s="6"/>
      <c r="AI26" s="6"/>
    </row>
    <row r="27" spans="1:35" ht="12.75">
      <c r="A27" s="6"/>
      <c r="B27" s="6"/>
      <c r="C27" s="6"/>
      <c r="D27" s="7"/>
      <c r="E27" s="6"/>
      <c r="F27" s="8"/>
      <c r="G27" s="9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8"/>
      <c r="AD27" s="9"/>
      <c r="AE27" s="6"/>
      <c r="AF27" s="6"/>
      <c r="AG27" s="6"/>
      <c r="AH27" s="6"/>
      <c r="AI27" s="6"/>
    </row>
    <row r="28" spans="1:35" ht="12.75">
      <c r="A28" s="6"/>
      <c r="B28" s="6"/>
      <c r="C28" s="6"/>
      <c r="D28" s="7"/>
      <c r="E28" s="6"/>
      <c r="F28" s="8"/>
      <c r="G28" s="9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8"/>
      <c r="AD28" s="9"/>
      <c r="AE28" s="6"/>
      <c r="AF28" s="6"/>
      <c r="AG28" s="6"/>
      <c r="AH28" s="6"/>
      <c r="AI28" s="6"/>
    </row>
    <row r="29" spans="1:35" ht="12.75">
      <c r="A29" s="6"/>
      <c r="B29" s="6"/>
      <c r="C29" s="6"/>
      <c r="D29" s="7"/>
      <c r="E29" s="6"/>
      <c r="F29" s="8"/>
      <c r="G29" s="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8"/>
      <c r="AD29" s="9"/>
      <c r="AE29" s="6"/>
      <c r="AF29" s="6"/>
      <c r="AG29" s="6"/>
      <c r="AH29" s="6"/>
      <c r="AI29" s="6"/>
    </row>
    <row r="30" spans="1:35" ht="12.75">
      <c r="A30" s="6"/>
      <c r="B30" s="6"/>
      <c r="C30" s="6"/>
      <c r="D30" s="7"/>
      <c r="E30" s="6"/>
      <c r="F30" s="8"/>
      <c r="G30" s="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8"/>
      <c r="AD30" s="9"/>
      <c r="AE30" s="6"/>
      <c r="AF30" s="6"/>
      <c r="AG30" s="6"/>
      <c r="AH30" s="6"/>
      <c r="AI30" s="6"/>
    </row>
    <row r="31" spans="1:35" ht="12.75">
      <c r="A31" s="6"/>
      <c r="B31" s="6"/>
      <c r="C31" s="6"/>
      <c r="D31" s="10"/>
      <c r="E31" s="6"/>
      <c r="F31" s="8"/>
      <c r="G31" s="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8"/>
      <c r="AD31" s="9"/>
      <c r="AE31" s="6"/>
      <c r="AF31" s="13"/>
      <c r="AG31" s="6"/>
      <c r="AH31" s="6"/>
      <c r="AI31" s="6"/>
    </row>
    <row r="32" spans="1:35" ht="12.75">
      <c r="A32" s="6"/>
      <c r="B32" s="6"/>
      <c r="C32" s="6"/>
      <c r="D32" s="7"/>
      <c r="E32" s="6"/>
      <c r="F32" s="8"/>
      <c r="G32" s="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8"/>
      <c r="AD32" s="9"/>
      <c r="AE32" s="6"/>
      <c r="AF32" s="6"/>
      <c r="AG32" s="6"/>
      <c r="AH32" s="6"/>
      <c r="AI32" s="6"/>
    </row>
    <row r="33" spans="1:35" ht="12.75">
      <c r="A33" s="6"/>
      <c r="B33" s="6"/>
      <c r="C33" s="6"/>
      <c r="D33" s="10"/>
      <c r="E33" s="6"/>
      <c r="F33" s="8"/>
      <c r="G33" s="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8"/>
      <c r="AD33" s="9"/>
      <c r="AE33" s="6"/>
      <c r="AF33" s="13"/>
      <c r="AG33" s="6"/>
      <c r="AH33" s="6"/>
      <c r="AI33" s="6"/>
    </row>
    <row r="34" spans="1:35" ht="12.75">
      <c r="A34" s="6"/>
      <c r="B34" s="6"/>
      <c r="C34" s="6"/>
      <c r="D34" s="7"/>
      <c r="E34" s="6"/>
      <c r="F34" s="8"/>
      <c r="G34" s="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8"/>
      <c r="AD34" s="9"/>
      <c r="AE34" s="6"/>
      <c r="AF34" s="6"/>
      <c r="AG34" s="6"/>
      <c r="AH34" s="6"/>
      <c r="AI34" s="6"/>
    </row>
    <row r="35" spans="1:35" ht="12.75">
      <c r="A35" s="6"/>
      <c r="B35" s="6"/>
      <c r="C35" s="6"/>
      <c r="D35" s="7"/>
      <c r="E35" s="6"/>
      <c r="F35" s="8"/>
      <c r="G35" s="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/>
      <c r="AD35" s="9"/>
      <c r="AE35" s="6"/>
      <c r="AF35" s="6"/>
      <c r="AG35" s="6"/>
      <c r="AH35" s="6"/>
      <c r="AI35" s="6"/>
    </row>
    <row r="36" spans="1:35" ht="12.75">
      <c r="A36" s="6"/>
      <c r="B36" s="6"/>
      <c r="C36" s="6"/>
      <c r="D36" s="10"/>
      <c r="E36" s="6"/>
      <c r="F36" s="8"/>
      <c r="G36" s="9"/>
      <c r="H36" s="1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/>
      <c r="AD36" s="9"/>
      <c r="AE36" s="6"/>
      <c r="AF36" s="13"/>
      <c r="AG36" s="6"/>
      <c r="AH36" s="6"/>
      <c r="AI36" s="6"/>
    </row>
    <row r="37" spans="1:35" ht="12.75">
      <c r="A37" s="6"/>
      <c r="B37" s="6"/>
      <c r="C37" s="6"/>
      <c r="D37" s="7"/>
      <c r="E37" s="6"/>
      <c r="F37" s="8"/>
      <c r="G37" s="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8"/>
      <c r="AD37" s="9"/>
      <c r="AE37" s="6"/>
      <c r="AF37" s="6"/>
      <c r="AG37" s="6"/>
      <c r="AH37" s="6"/>
      <c r="AI37" s="6"/>
    </row>
    <row r="38" spans="1:35" ht="12.75">
      <c r="A38" s="6"/>
      <c r="B38" s="6"/>
      <c r="C38" s="6"/>
      <c r="D38" s="10"/>
      <c r="E38" s="6"/>
      <c r="F38" s="8"/>
      <c r="G38" s="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8"/>
      <c r="AD38" s="9"/>
      <c r="AE38" s="6"/>
      <c r="AF38" s="13"/>
      <c r="AG38" s="6"/>
      <c r="AH38" s="6"/>
      <c r="AI38" s="6"/>
    </row>
    <row r="39" spans="1:35" ht="12.75">
      <c r="A39" s="6"/>
      <c r="B39" s="6"/>
      <c r="C39" s="6"/>
      <c r="D39" s="10"/>
      <c r="E39" s="6"/>
      <c r="F39" s="8"/>
      <c r="G39" s="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8"/>
      <c r="AD39" s="9"/>
      <c r="AE39" s="6"/>
      <c r="AF39" s="13"/>
      <c r="AG39" s="6"/>
      <c r="AH39" s="6"/>
      <c r="AI39" s="6"/>
    </row>
    <row r="40" spans="1:35" ht="12.75">
      <c r="A40" s="6"/>
      <c r="B40" s="6"/>
      <c r="C40" s="6"/>
      <c r="D40" s="7"/>
      <c r="E40" s="6"/>
      <c r="F40" s="8"/>
      <c r="G40" s="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8"/>
      <c r="AD40" s="9"/>
      <c r="AE40" s="6"/>
      <c r="AF40" s="6"/>
      <c r="AG40" s="6"/>
      <c r="AH40" s="6"/>
      <c r="AI40" s="6"/>
    </row>
    <row r="41" spans="1:35" ht="12.75">
      <c r="A41" s="6"/>
      <c r="B41" s="6"/>
      <c r="C41" s="6"/>
      <c r="D41" s="10"/>
      <c r="E41" s="6"/>
      <c r="F41" s="8"/>
      <c r="G41" s="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8"/>
      <c r="AD41" s="9"/>
      <c r="AE41" s="6"/>
      <c r="AF41" s="13"/>
      <c r="AG41" s="6"/>
      <c r="AH41" s="6"/>
      <c r="AI41" s="6"/>
    </row>
    <row r="42" spans="1:35" ht="12.75">
      <c r="A42" s="6"/>
      <c r="B42" s="6"/>
      <c r="C42" s="6"/>
      <c r="D42" s="7"/>
      <c r="E42" s="6"/>
      <c r="F42" s="8"/>
      <c r="G42" s="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8"/>
      <c r="AD42" s="9"/>
      <c r="AE42" s="6"/>
      <c r="AF42" s="6"/>
      <c r="AG42" s="6"/>
      <c r="AH42" s="6"/>
      <c r="AI42" s="6"/>
    </row>
    <row r="43" spans="1:35" ht="12.75">
      <c r="A43" s="6"/>
      <c r="B43" s="6"/>
      <c r="C43" s="6"/>
      <c r="D43" s="10"/>
      <c r="E43" s="6"/>
      <c r="F43" s="8"/>
      <c r="G43" s="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8"/>
      <c r="AD43" s="9"/>
      <c r="AE43" s="6"/>
      <c r="AF43" s="13"/>
      <c r="AG43" s="6"/>
      <c r="AH43" s="6"/>
      <c r="AI43" s="6"/>
    </row>
    <row r="44" spans="1:35" ht="12.75">
      <c r="A44" s="6"/>
      <c r="B44" s="6"/>
      <c r="C44" s="6"/>
      <c r="D44" s="10"/>
      <c r="E44" s="6"/>
      <c r="F44" s="8"/>
      <c r="G44" s="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8"/>
      <c r="AD44" s="9"/>
      <c r="AE44" s="6"/>
      <c r="AF44" s="13"/>
      <c r="AG44" s="6"/>
      <c r="AH44" s="6"/>
      <c r="AI44" s="6"/>
    </row>
    <row r="45" spans="1:35" ht="12.75">
      <c r="A45" s="6"/>
      <c r="B45" s="6"/>
      <c r="C45" s="6"/>
      <c r="D45" s="7"/>
      <c r="E45" s="6"/>
      <c r="F45" s="8"/>
      <c r="G45" s="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8"/>
      <c r="AD45" s="9"/>
      <c r="AE45" s="6"/>
      <c r="AF45" s="6"/>
      <c r="AG45" s="6"/>
      <c r="AH45" s="6"/>
      <c r="AI45" s="6"/>
    </row>
    <row r="46" spans="1:35" ht="12.75">
      <c r="A46" s="6"/>
      <c r="B46" s="6"/>
      <c r="C46" s="6"/>
      <c r="D46" s="10"/>
      <c r="E46" s="6"/>
      <c r="F46" s="8"/>
      <c r="G46" s="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8"/>
      <c r="AD46" s="9"/>
      <c r="AE46" s="6"/>
      <c r="AF46" s="13"/>
      <c r="AG46" s="6"/>
      <c r="AH46" s="6"/>
      <c r="AI46" s="6"/>
    </row>
    <row r="47" spans="1:35" ht="12.75">
      <c r="A47" s="6"/>
      <c r="B47" s="6"/>
      <c r="C47" s="6"/>
      <c r="D47" s="10"/>
      <c r="E47" s="6"/>
      <c r="F47" s="8"/>
      <c r="G47" s="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8"/>
      <c r="AD47" s="9"/>
      <c r="AE47" s="6"/>
      <c r="AF47" s="13"/>
      <c r="AG47" s="6"/>
      <c r="AH47" s="6"/>
      <c r="AI47" s="6"/>
    </row>
    <row r="48" spans="1:35" ht="12.75">
      <c r="A48" s="6"/>
      <c r="B48" s="6"/>
      <c r="C48" s="6"/>
      <c r="D48" s="7"/>
      <c r="E48" s="6"/>
      <c r="F48" s="8"/>
      <c r="G48" s="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8"/>
      <c r="AD48" s="9"/>
      <c r="AE48" s="6"/>
      <c r="AF48" s="6"/>
      <c r="AG48" s="6"/>
      <c r="AH48" s="6"/>
      <c r="AI48" s="6"/>
    </row>
    <row r="49" spans="1:35" ht="12.75">
      <c r="A49" s="6"/>
      <c r="B49" s="6"/>
      <c r="C49" s="6"/>
      <c r="D49" s="10"/>
      <c r="E49" s="6"/>
      <c r="F49" s="8"/>
      <c r="G49" s="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8"/>
      <c r="AD49" s="9"/>
      <c r="AE49" s="6"/>
      <c r="AF49" s="13"/>
      <c r="AG49" s="6"/>
      <c r="AH49" s="6"/>
      <c r="AI49" s="6"/>
    </row>
    <row r="50" spans="1:35" ht="12.75">
      <c r="A50" s="6"/>
      <c r="B50" s="6"/>
      <c r="C50" s="6"/>
      <c r="D50" s="7"/>
      <c r="E50" s="6"/>
      <c r="F50" s="8"/>
      <c r="G50" s="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8"/>
      <c r="AD50" s="9"/>
      <c r="AE50" s="6"/>
      <c r="AF50" s="6"/>
      <c r="AG50" s="6"/>
      <c r="AH50" s="6"/>
      <c r="AI50" s="6"/>
    </row>
    <row r="51" spans="1:35" ht="12.75">
      <c r="A51" s="6"/>
      <c r="B51" s="6"/>
      <c r="C51" s="6"/>
      <c r="D51" s="10"/>
      <c r="E51" s="6"/>
      <c r="F51" s="8"/>
      <c r="G51" s="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8"/>
      <c r="AD51" s="9"/>
      <c r="AE51" s="6"/>
      <c r="AF51" s="13"/>
      <c r="AG51" s="6"/>
      <c r="AH51" s="6"/>
      <c r="AI51" s="6"/>
    </row>
    <row r="52" spans="1:35" ht="12.75">
      <c r="A52" s="6"/>
      <c r="B52" s="6"/>
      <c r="C52" s="6"/>
      <c r="D52" s="7"/>
      <c r="E52" s="6"/>
      <c r="F52" s="8"/>
      <c r="G52" s="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8"/>
      <c r="AD52" s="9"/>
      <c r="AE52" s="6"/>
      <c r="AF52" s="6"/>
      <c r="AG52" s="6"/>
      <c r="AH52" s="6"/>
      <c r="AI52" s="6"/>
    </row>
    <row r="53" spans="1:35" ht="12.75">
      <c r="A53" s="6"/>
      <c r="B53" s="6"/>
      <c r="C53" s="6"/>
      <c r="D53" s="10"/>
      <c r="E53" s="6"/>
      <c r="F53" s="8"/>
      <c r="G53" s="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8"/>
      <c r="AD53" s="9"/>
      <c r="AE53" s="6"/>
      <c r="AF53" s="13"/>
      <c r="AG53" s="6"/>
      <c r="AH53" s="6"/>
      <c r="AI53" s="6"/>
    </row>
    <row r="54" spans="1:35" ht="12.75">
      <c r="A54" s="6"/>
      <c r="B54" s="6"/>
      <c r="C54" s="6"/>
      <c r="D54" s="10"/>
      <c r="E54" s="6"/>
      <c r="F54" s="8"/>
      <c r="G54" s="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8"/>
      <c r="AD54" s="9"/>
      <c r="AE54" s="6"/>
      <c r="AF54" s="13"/>
      <c r="AG54" s="6"/>
      <c r="AH54" s="6"/>
      <c r="AI54" s="6"/>
    </row>
    <row r="55" spans="1:35" ht="12.75">
      <c r="A55" s="6"/>
      <c r="B55" s="6"/>
      <c r="C55" s="6"/>
      <c r="D55" s="10"/>
      <c r="E55" s="6"/>
      <c r="F55" s="8"/>
      <c r="G55" s="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8"/>
      <c r="AD55" s="9"/>
      <c r="AE55" s="6"/>
      <c r="AF55" s="13"/>
      <c r="AG55" s="6"/>
      <c r="AH55" s="6"/>
      <c r="AI55" s="6"/>
    </row>
    <row r="56" spans="1:35" ht="12.75">
      <c r="A56" s="6"/>
      <c r="B56" s="6"/>
      <c r="C56" s="6"/>
      <c r="D56" s="10"/>
      <c r="E56" s="6"/>
      <c r="F56" s="8"/>
      <c r="G56" s="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8"/>
      <c r="AD56" s="9"/>
      <c r="AE56" s="6"/>
      <c r="AF56" s="13"/>
      <c r="AG56" s="6"/>
      <c r="AH56" s="6"/>
      <c r="AI56" s="6"/>
    </row>
    <row r="57" spans="1:35" ht="12.75">
      <c r="A57" s="6"/>
      <c r="B57" s="6"/>
      <c r="C57" s="6"/>
      <c r="D57" s="7"/>
      <c r="E57" s="6"/>
      <c r="F57" s="8"/>
      <c r="G57" s="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8"/>
      <c r="AD57" s="9"/>
      <c r="AE57" s="6"/>
      <c r="AF57" s="6"/>
      <c r="AG57" s="6"/>
      <c r="AH57" s="6"/>
      <c r="AI57" s="6"/>
    </row>
    <row r="58" spans="1:35" ht="12.75">
      <c r="A58" s="6"/>
      <c r="B58" s="6"/>
      <c r="C58" s="6"/>
      <c r="D58" s="10"/>
      <c r="E58" s="6"/>
      <c r="F58" s="8"/>
      <c r="G58" s="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8"/>
      <c r="AD58" s="9"/>
      <c r="AE58" s="6"/>
      <c r="AF58" s="13"/>
      <c r="AG58" s="6"/>
      <c r="AH58" s="6"/>
      <c r="AI58" s="6"/>
    </row>
    <row r="59" spans="1:35" ht="12.75">
      <c r="A59" s="6"/>
      <c r="B59" s="6"/>
      <c r="C59" s="6"/>
      <c r="D59" s="7"/>
      <c r="E59" s="6"/>
      <c r="F59" s="8"/>
      <c r="G59" s="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8"/>
      <c r="AD59" s="9"/>
      <c r="AE59" s="6"/>
      <c r="AF59" s="6"/>
      <c r="AG59" s="6"/>
      <c r="AH59" s="6"/>
      <c r="AI59" s="6"/>
    </row>
    <row r="60" spans="1:35" ht="12.75">
      <c r="A60" s="6"/>
      <c r="B60" s="6"/>
      <c r="C60" s="6"/>
      <c r="D60" s="10"/>
      <c r="E60" s="6"/>
      <c r="F60" s="8"/>
      <c r="G60" s="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8"/>
      <c r="AD60" s="9"/>
      <c r="AE60" s="6"/>
      <c r="AF60" s="13"/>
      <c r="AG60" s="6"/>
      <c r="AH60" s="6"/>
      <c r="AI60" s="6"/>
    </row>
    <row r="61" spans="1:35" ht="12.75">
      <c r="A61" s="6"/>
      <c r="B61" s="6"/>
      <c r="C61" s="6"/>
      <c r="D61" s="7"/>
      <c r="E61" s="6"/>
      <c r="F61" s="8"/>
      <c r="G61" s="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8"/>
      <c r="AD61" s="9"/>
      <c r="AE61" s="6"/>
      <c r="AF61" s="6"/>
      <c r="AG61" s="6"/>
      <c r="AH61" s="6"/>
      <c r="AI61" s="6"/>
    </row>
    <row r="62" spans="1:35" ht="12.75">
      <c r="A62" s="6"/>
      <c r="B62" s="6"/>
      <c r="C62" s="6"/>
      <c r="D62" s="10"/>
      <c r="E62" s="6"/>
      <c r="F62" s="8"/>
      <c r="G62" s="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8"/>
      <c r="AD62" s="9"/>
      <c r="AE62" s="6"/>
      <c r="AF62" s="13"/>
      <c r="AG62" s="6"/>
      <c r="AH62" s="6"/>
      <c r="AI62" s="6"/>
    </row>
    <row r="63" spans="1:35" ht="12.75">
      <c r="A63" s="6"/>
      <c r="B63" s="6"/>
      <c r="C63" s="6"/>
      <c r="D63" s="10"/>
      <c r="E63" s="6"/>
      <c r="F63" s="8"/>
      <c r="G63" s="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8"/>
      <c r="AD63" s="9"/>
      <c r="AE63" s="6"/>
      <c r="AF63" s="13"/>
      <c r="AG63" s="6"/>
      <c r="AH63" s="6"/>
      <c r="AI63" s="6"/>
    </row>
    <row r="64" spans="1:35" ht="12.75">
      <c r="A64" s="6"/>
      <c r="B64" s="6"/>
      <c r="C64" s="6"/>
      <c r="D64" s="7"/>
      <c r="E64" s="6"/>
      <c r="F64" s="8"/>
      <c r="G64" s="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8"/>
      <c r="AD64" s="9"/>
      <c r="AE64" s="6"/>
      <c r="AF64" s="6"/>
      <c r="AG64" s="6"/>
      <c r="AH64" s="6"/>
      <c r="AI64" s="6"/>
    </row>
    <row r="65" spans="1:35" ht="12.75">
      <c r="A65" s="6"/>
      <c r="B65" s="6"/>
      <c r="C65" s="6"/>
      <c r="D65" s="10"/>
      <c r="E65" s="6"/>
      <c r="F65" s="8"/>
      <c r="G65" s="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8"/>
      <c r="AD65" s="9"/>
      <c r="AE65" s="6"/>
      <c r="AF65" s="13"/>
      <c r="AG65" s="6"/>
      <c r="AH65" s="6"/>
      <c r="AI65" s="6"/>
    </row>
    <row r="66" spans="1:35" ht="12.75">
      <c r="A66" s="6"/>
      <c r="B66" s="6"/>
      <c r="C66" s="6"/>
      <c r="D66" s="7"/>
      <c r="E66" s="6"/>
      <c r="F66" s="8"/>
      <c r="G66" s="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8"/>
      <c r="AD66" s="9"/>
      <c r="AE66" s="6"/>
      <c r="AF66" s="6"/>
      <c r="AG66" s="6"/>
      <c r="AH66" s="6"/>
      <c r="AI66" s="6"/>
    </row>
    <row r="67" spans="1:35" ht="12.75">
      <c r="A67" s="6"/>
      <c r="B67" s="6"/>
      <c r="C67" s="6"/>
      <c r="D67" s="7"/>
      <c r="E67" s="6"/>
      <c r="F67" s="8"/>
      <c r="G67" s="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8"/>
      <c r="AD67" s="9"/>
      <c r="AE67" s="6"/>
      <c r="AF67" s="6"/>
      <c r="AG67" s="6"/>
      <c r="AH67" s="6"/>
      <c r="AI67" s="6"/>
    </row>
    <row r="68" spans="1:35" ht="12.75">
      <c r="A68" s="6"/>
      <c r="B68" s="6"/>
      <c r="C68" s="6"/>
      <c r="D68" s="10"/>
      <c r="E68" s="6"/>
      <c r="F68" s="8"/>
      <c r="G68" s="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8"/>
      <c r="AD68" s="9"/>
      <c r="AE68" s="6"/>
      <c r="AF68" s="13"/>
      <c r="AG68" s="6"/>
      <c r="AH68" s="6"/>
      <c r="AI68" s="6"/>
    </row>
    <row r="69" spans="1:35" ht="12.75">
      <c r="A69" s="6"/>
      <c r="B69" s="6"/>
      <c r="C69" s="6"/>
      <c r="D69" s="7"/>
      <c r="E69" s="6"/>
      <c r="F69" s="8"/>
      <c r="G69" s="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8"/>
      <c r="AD69" s="9"/>
      <c r="AE69" s="6"/>
      <c r="AF69" s="6"/>
      <c r="AG69" s="6"/>
      <c r="AH69" s="6"/>
      <c r="AI69" s="6"/>
    </row>
    <row r="70" spans="1:35" ht="12.75">
      <c r="A70" s="6"/>
      <c r="B70" s="6"/>
      <c r="C70" s="6"/>
      <c r="D70" s="7"/>
      <c r="E70" s="6"/>
      <c r="F70" s="8"/>
      <c r="G70" s="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8"/>
      <c r="AD70" s="9"/>
      <c r="AE70" s="6"/>
      <c r="AF70" s="6"/>
      <c r="AG70" s="6"/>
      <c r="AH70" s="6"/>
      <c r="AI70" s="6"/>
    </row>
    <row r="71" spans="1:35" ht="12.75">
      <c r="A71" s="6"/>
      <c r="B71" s="6"/>
      <c r="C71" s="6"/>
      <c r="D71" s="10"/>
      <c r="E71" s="6"/>
      <c r="F71" s="8"/>
      <c r="G71" s="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8"/>
      <c r="AD71" s="9"/>
      <c r="AE71" s="6"/>
      <c r="AF71" s="13"/>
      <c r="AG71" s="6"/>
      <c r="AH71" s="6"/>
      <c r="AI71" s="6"/>
    </row>
    <row r="72" spans="1:35" ht="12.75">
      <c r="A72" s="6"/>
      <c r="B72" s="6"/>
      <c r="C72" s="6"/>
      <c r="D72" s="10"/>
      <c r="E72" s="6"/>
      <c r="F72" s="8"/>
      <c r="G72" s="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8"/>
      <c r="AD72" s="9"/>
      <c r="AE72" s="6"/>
      <c r="AF72" s="13"/>
      <c r="AG72" s="6"/>
      <c r="AH72" s="6"/>
      <c r="AI72" s="6"/>
    </row>
    <row r="73" spans="1:35" ht="12.75">
      <c r="A73" s="6"/>
      <c r="B73" s="6"/>
      <c r="C73" s="6"/>
      <c r="D73" s="7"/>
      <c r="E73" s="6"/>
      <c r="F73" s="8"/>
      <c r="G73" s="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8"/>
      <c r="AD73" s="9"/>
      <c r="AE73" s="6"/>
      <c r="AF73" s="6"/>
      <c r="AG73" s="6"/>
      <c r="AH73" s="6"/>
      <c r="AI73" s="6"/>
    </row>
    <row r="74" spans="1:35" ht="12.75">
      <c r="A74" s="6"/>
      <c r="B74" s="6"/>
      <c r="C74" s="6"/>
      <c r="D74" s="10"/>
      <c r="E74" s="6"/>
      <c r="F74" s="8"/>
      <c r="G74" s="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8"/>
      <c r="AD74" s="9"/>
      <c r="AE74" s="6"/>
      <c r="AF74" s="13"/>
      <c r="AG74" s="6"/>
      <c r="AH74" s="6"/>
      <c r="AI74" s="6"/>
    </row>
    <row r="75" spans="1:35" ht="12.75">
      <c r="A75" s="6"/>
      <c r="B75" s="6"/>
      <c r="C75" s="6"/>
      <c r="D75" s="10"/>
      <c r="E75" s="6"/>
      <c r="F75" s="8"/>
      <c r="G75" s="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8"/>
      <c r="AD75" s="9"/>
      <c r="AE75" s="6"/>
      <c r="AF75" s="13"/>
      <c r="AG75" s="6"/>
      <c r="AH75" s="6"/>
      <c r="AI75" s="6"/>
    </row>
    <row r="76" spans="1:35" ht="12.75">
      <c r="A76" s="6"/>
      <c r="B76" s="6"/>
      <c r="C76" s="6"/>
      <c r="D76" s="7"/>
      <c r="E76" s="6"/>
      <c r="F76" s="8"/>
      <c r="G76" s="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8"/>
      <c r="AD76" s="9"/>
      <c r="AE76" s="6"/>
      <c r="AF76" s="6"/>
      <c r="AG76" s="6"/>
      <c r="AH76" s="6"/>
      <c r="AI76" s="6"/>
    </row>
    <row r="77" spans="1:35" ht="12.75">
      <c r="A77" s="6"/>
      <c r="B77" s="6"/>
      <c r="C77" s="6"/>
      <c r="D77" s="10"/>
      <c r="E77" s="6"/>
      <c r="F77" s="8"/>
      <c r="G77" s="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8"/>
      <c r="AD77" s="9"/>
      <c r="AE77" s="6"/>
      <c r="AF77" s="13"/>
      <c r="AG77" s="6"/>
      <c r="AH77" s="6"/>
      <c r="AI77" s="6"/>
    </row>
    <row r="78" spans="1:35" ht="12.75">
      <c r="A78" s="6"/>
      <c r="B78" s="6"/>
      <c r="C78" s="6"/>
      <c r="D78" s="7"/>
      <c r="E78" s="6"/>
      <c r="F78" s="8"/>
      <c r="G78" s="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8"/>
      <c r="AD78" s="9"/>
      <c r="AE78" s="6"/>
      <c r="AF78" s="6"/>
      <c r="AG78" s="6"/>
      <c r="AH78" s="6"/>
      <c r="AI78" s="6"/>
    </row>
    <row r="79" spans="1:35" ht="12.75">
      <c r="A79" s="6"/>
      <c r="B79" s="6"/>
      <c r="C79" s="6"/>
      <c r="D79" s="10"/>
      <c r="E79" s="6"/>
      <c r="F79" s="8"/>
      <c r="G79" s="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8"/>
      <c r="AD79" s="9"/>
      <c r="AE79" s="6"/>
      <c r="AF79" s="13"/>
      <c r="AG79" s="6"/>
      <c r="AH79" s="6"/>
      <c r="AI79" s="6"/>
    </row>
    <row r="80" spans="1:35" ht="12.75">
      <c r="A80" s="6"/>
      <c r="B80" s="6"/>
      <c r="C80" s="6"/>
      <c r="D80" s="10"/>
      <c r="E80" s="6"/>
      <c r="F80" s="8"/>
      <c r="G80" s="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8"/>
      <c r="AD80" s="9"/>
      <c r="AE80" s="6"/>
      <c r="AF80" s="13"/>
      <c r="AG80" s="6"/>
      <c r="AH80" s="6"/>
      <c r="AI80" s="6"/>
    </row>
    <row r="81" spans="1:35" ht="12.75">
      <c r="A81" s="6"/>
      <c r="B81" s="6"/>
      <c r="C81" s="6"/>
      <c r="D81" s="10"/>
      <c r="E81" s="6"/>
      <c r="F81" s="8"/>
      <c r="G81" s="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8"/>
      <c r="AD81" s="9"/>
      <c r="AE81" s="6"/>
      <c r="AF81" s="13"/>
      <c r="AG81" s="6"/>
      <c r="AH81" s="6"/>
      <c r="AI81" s="6"/>
    </row>
    <row r="82" spans="1:35" ht="12.75">
      <c r="A82" s="6"/>
      <c r="B82" s="6"/>
      <c r="C82" s="6"/>
      <c r="D82" s="10"/>
      <c r="E82" s="6"/>
      <c r="F82" s="8"/>
      <c r="G82" s="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8"/>
      <c r="AD82" s="9"/>
      <c r="AE82" s="6"/>
      <c r="AF82" s="13"/>
      <c r="AG82" s="6"/>
      <c r="AH82" s="6"/>
      <c r="AI82" s="6"/>
    </row>
    <row r="83" spans="1:35" ht="12.75">
      <c r="A83" s="6"/>
      <c r="B83" s="6"/>
      <c r="C83" s="6"/>
      <c r="D83" s="10"/>
      <c r="E83" s="6"/>
      <c r="F83" s="8"/>
      <c r="G83" s="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8"/>
      <c r="AD83" s="9"/>
      <c r="AE83" s="6"/>
      <c r="AF83" s="13"/>
      <c r="AG83" s="6"/>
      <c r="AH83" s="6"/>
      <c r="AI83" s="6"/>
    </row>
    <row r="84" spans="1:35" ht="12.75">
      <c r="A84" s="6"/>
      <c r="B84" s="6"/>
      <c r="C84" s="6"/>
      <c r="D84" s="10"/>
      <c r="E84" s="6"/>
      <c r="F84" s="8"/>
      <c r="G84" s="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8"/>
      <c r="AD84" s="9"/>
      <c r="AE84" s="6"/>
      <c r="AF84" s="13"/>
      <c r="AG84" s="6"/>
      <c r="AH84" s="6"/>
      <c r="AI84" s="6"/>
    </row>
    <row r="85" spans="1:35" ht="12.75">
      <c r="A85" s="6"/>
      <c r="B85" s="6"/>
      <c r="C85" s="6"/>
      <c r="D85" s="10"/>
      <c r="E85" s="6"/>
      <c r="F85" s="8"/>
      <c r="G85" s="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8"/>
      <c r="AD85" s="9"/>
      <c r="AE85" s="6"/>
      <c r="AF85" s="13"/>
      <c r="AG85" s="6"/>
      <c r="AH85" s="6"/>
      <c r="AI85" s="6"/>
    </row>
    <row r="86" spans="1:35" ht="12.75">
      <c r="A86" s="6"/>
      <c r="B86" s="6"/>
      <c r="C86" s="6"/>
      <c r="D86" s="10"/>
      <c r="E86" s="6"/>
      <c r="F86" s="8"/>
      <c r="G86" s="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8"/>
      <c r="AD86" s="9"/>
      <c r="AE86" s="6"/>
      <c r="AF86" s="13"/>
      <c r="AG86" s="6"/>
      <c r="AH86" s="6"/>
      <c r="AI86" s="6"/>
    </row>
    <row r="87" spans="1:35" s="23" customFormat="1" ht="12.75">
      <c r="A87" s="18"/>
      <c r="B87" s="18"/>
      <c r="C87" s="18"/>
      <c r="D87" s="19"/>
      <c r="E87" s="18"/>
      <c r="F87" s="20"/>
      <c r="G87" s="21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20"/>
      <c r="AD87" s="21"/>
      <c r="AE87" s="18"/>
      <c r="AF87" s="22"/>
      <c r="AG87" s="18"/>
      <c r="AH87" s="18"/>
      <c r="AI87" s="18"/>
    </row>
    <row r="88" spans="1:35" ht="12.75">
      <c r="A88" s="6"/>
      <c r="B88" s="6"/>
      <c r="C88" s="6"/>
      <c r="D88" s="7"/>
      <c r="E88" s="6"/>
      <c r="F88" s="8"/>
      <c r="G88" s="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8"/>
      <c r="AD88" s="9"/>
      <c r="AE88" s="6"/>
      <c r="AF88" s="6"/>
      <c r="AG88" s="6"/>
      <c r="AH88" s="6"/>
      <c r="AI88" s="6"/>
    </row>
    <row r="89" spans="1:35" ht="12.75">
      <c r="A89" s="6"/>
      <c r="B89" s="6"/>
      <c r="C89" s="6"/>
      <c r="D89" s="10"/>
      <c r="E89" s="6"/>
      <c r="F89" s="8"/>
      <c r="G89" s="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8"/>
      <c r="AD89" s="9"/>
      <c r="AE89" s="6"/>
      <c r="AF89" s="13"/>
      <c r="AG89" s="6"/>
      <c r="AH89" s="6"/>
      <c r="AI89" s="6"/>
    </row>
    <row r="90" spans="1:35" ht="12.75">
      <c r="A90" s="6"/>
      <c r="B90" s="6"/>
      <c r="C90" s="6"/>
      <c r="D90" s="7"/>
      <c r="E90" s="6"/>
      <c r="F90" s="8"/>
      <c r="G90" s="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8"/>
      <c r="AD90" s="9"/>
      <c r="AE90" s="6"/>
      <c r="AF90" s="6"/>
      <c r="AG90" s="6"/>
      <c r="AH90" s="6"/>
      <c r="AI90" s="6"/>
    </row>
    <row r="91" spans="1:35" ht="12.75">
      <c r="A91" s="6"/>
      <c r="B91" s="6"/>
      <c r="C91" s="6"/>
      <c r="D91" s="7"/>
      <c r="E91" s="6"/>
      <c r="F91" s="8"/>
      <c r="G91" s="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8"/>
      <c r="AD91" s="9"/>
      <c r="AE91" s="6"/>
      <c r="AF91" s="6"/>
      <c r="AG91" s="6"/>
      <c r="AH91" s="6"/>
      <c r="AI91" s="6"/>
    </row>
    <row r="92" spans="1:35" ht="12.75">
      <c r="A92" s="6"/>
      <c r="B92" s="6"/>
      <c r="C92" s="6"/>
      <c r="D92" s="10"/>
      <c r="E92" s="6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8"/>
      <c r="AD92" s="6"/>
      <c r="AE92" s="6"/>
      <c r="AF92" s="13"/>
      <c r="AG92" s="6"/>
      <c r="AH92" s="6"/>
      <c r="AI92" s="6"/>
    </row>
    <row r="93" spans="1:35" ht="12.75">
      <c r="A93" s="6"/>
      <c r="B93" s="6"/>
      <c r="C93" s="6"/>
      <c r="D93" s="7"/>
      <c r="E93" s="6"/>
      <c r="F93" s="8"/>
      <c r="G93" s="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8"/>
      <c r="AD93" s="9"/>
      <c r="AE93" s="6"/>
      <c r="AF93" s="6"/>
      <c r="AG93" s="6"/>
      <c r="AH93" s="6"/>
      <c r="AI93" s="6"/>
    </row>
    <row r="94" spans="1:35" ht="12.75">
      <c r="A94" s="6"/>
      <c r="B94" s="6"/>
      <c r="C94" s="6"/>
      <c r="D94" s="7"/>
      <c r="E94" s="6"/>
      <c r="F94" s="8"/>
      <c r="G94" s="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8"/>
      <c r="AD94" s="9"/>
      <c r="AE94" s="6"/>
      <c r="AF94" s="6"/>
      <c r="AG94" s="6"/>
      <c r="AH94" s="6"/>
      <c r="AI94" s="6"/>
    </row>
    <row r="95" spans="1:35" ht="12.75">
      <c r="A95" s="6"/>
      <c r="B95" s="6"/>
      <c r="C95" s="6"/>
      <c r="D95" s="10"/>
      <c r="E95" s="6"/>
      <c r="F95" s="8"/>
      <c r="G95" s="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8"/>
      <c r="AD95" s="9"/>
      <c r="AE95" s="6"/>
      <c r="AF95" s="13"/>
      <c r="AG95" s="6"/>
      <c r="AH95" s="6"/>
      <c r="AI95" s="6"/>
    </row>
    <row r="96" spans="1:35" ht="12.75">
      <c r="A96" s="6"/>
      <c r="B96" s="6"/>
      <c r="C96" s="6"/>
      <c r="D96" s="7"/>
      <c r="E96" s="6"/>
      <c r="F96" s="8"/>
      <c r="G96" s="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8"/>
      <c r="AD96" s="9"/>
      <c r="AE96" s="6"/>
      <c r="AF96" s="6"/>
      <c r="AG96" s="6"/>
      <c r="AH96" s="6"/>
      <c r="AI96" s="6"/>
    </row>
    <row r="97" spans="1:35" ht="12.75">
      <c r="A97" s="6"/>
      <c r="B97" s="6"/>
      <c r="C97" s="6"/>
      <c r="D97" s="7"/>
      <c r="E97" s="6"/>
      <c r="F97" s="8"/>
      <c r="G97" s="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8"/>
      <c r="AD97" s="9"/>
      <c r="AE97" s="6"/>
      <c r="AF97" s="6"/>
      <c r="AG97" s="6"/>
      <c r="AH97" s="6"/>
      <c r="AI97" s="6"/>
    </row>
    <row r="98" spans="1:35" ht="12.75">
      <c r="A98" s="6"/>
      <c r="B98" s="6"/>
      <c r="C98" s="6"/>
      <c r="D98" s="10"/>
      <c r="E98" s="6"/>
      <c r="F98" s="8"/>
      <c r="G98" s="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8"/>
      <c r="AD98" s="9"/>
      <c r="AE98" s="6"/>
      <c r="AF98" s="13"/>
      <c r="AG98" s="6"/>
      <c r="AH98" s="6"/>
      <c r="AI98" s="6"/>
    </row>
    <row r="99" spans="1:35" ht="12.75">
      <c r="A99" s="6"/>
      <c r="B99" s="6"/>
      <c r="C99" s="6"/>
      <c r="D99" s="7"/>
      <c r="E99" s="6"/>
      <c r="F99" s="8"/>
      <c r="G99" s="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8"/>
      <c r="AD99" s="9"/>
      <c r="AE99" s="6"/>
      <c r="AF99" s="6"/>
      <c r="AG99" s="6"/>
      <c r="AH99" s="6"/>
      <c r="AI99" s="6"/>
    </row>
    <row r="100" spans="1:35" ht="12.75">
      <c r="A100" s="6"/>
      <c r="B100" s="6"/>
      <c r="C100" s="6"/>
      <c r="D100" s="10"/>
      <c r="E100" s="6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8"/>
      <c r="AD100" s="6"/>
      <c r="AE100" s="6"/>
      <c r="AF100" s="13"/>
      <c r="AG100" s="6"/>
      <c r="AH100" s="6"/>
      <c r="AI100" s="6"/>
    </row>
    <row r="101" spans="1:35" ht="12.75">
      <c r="A101" s="6"/>
      <c r="B101" s="6"/>
      <c r="C101" s="6"/>
      <c r="D101" s="7"/>
      <c r="E101" s="6"/>
      <c r="F101" s="8"/>
      <c r="G101" s="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8"/>
      <c r="AD101" s="9"/>
      <c r="AE101" s="6"/>
      <c r="AF101" s="6"/>
      <c r="AG101" s="6"/>
      <c r="AH101" s="6"/>
      <c r="AI101" s="6"/>
    </row>
    <row r="102" spans="1:35" ht="12.75">
      <c r="A102" s="6"/>
      <c r="B102" s="6"/>
      <c r="C102" s="6"/>
      <c r="D102" s="10"/>
      <c r="E102" s="6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8"/>
      <c r="AD102" s="6"/>
      <c r="AE102" s="6"/>
      <c r="AF102" s="13"/>
      <c r="AG102" s="6"/>
      <c r="AH102" s="6"/>
      <c r="AI102" s="6"/>
    </row>
    <row r="103" spans="1:35" ht="12.75">
      <c r="A103" s="6"/>
      <c r="B103" s="6"/>
      <c r="C103" s="6"/>
      <c r="D103" s="7"/>
      <c r="E103" s="6"/>
      <c r="F103" s="8"/>
      <c r="G103" s="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8"/>
      <c r="AD103" s="9"/>
      <c r="AE103" s="6"/>
      <c r="AF103" s="6"/>
      <c r="AG103" s="6"/>
      <c r="AH103" s="6"/>
      <c r="AI103" s="6"/>
    </row>
    <row r="104" spans="1:35" ht="12.75">
      <c r="A104" s="6"/>
      <c r="B104" s="6"/>
      <c r="C104" s="6"/>
      <c r="D104" s="7"/>
      <c r="E104" s="6"/>
      <c r="F104" s="8"/>
      <c r="G104" s="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8"/>
      <c r="AD104" s="9"/>
      <c r="AE104" s="6"/>
      <c r="AF104" s="6"/>
      <c r="AG104" s="6"/>
      <c r="AH104" s="6"/>
      <c r="AI104" s="6"/>
    </row>
    <row r="105" spans="1:35" ht="12.75">
      <c r="A105" s="6"/>
      <c r="B105" s="6"/>
      <c r="C105" s="6"/>
      <c r="D105" s="7"/>
      <c r="E105" s="6"/>
      <c r="F105" s="8"/>
      <c r="G105" s="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8"/>
      <c r="AD105" s="9"/>
      <c r="AE105" s="6"/>
      <c r="AF105" s="6"/>
      <c r="AG105" s="6"/>
      <c r="AH105" s="6"/>
      <c r="AI105" s="6"/>
    </row>
    <row r="106" spans="1:35" ht="12.75">
      <c r="A106" s="6"/>
      <c r="B106" s="6"/>
      <c r="C106" s="6"/>
      <c r="D106" s="10"/>
      <c r="E106" s="6"/>
      <c r="F106" s="8"/>
      <c r="G106" s="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8"/>
      <c r="AD106" s="9"/>
      <c r="AE106" s="6"/>
      <c r="AF106" s="13"/>
      <c r="AG106" s="6"/>
      <c r="AH106" s="6"/>
      <c r="AI106" s="6"/>
    </row>
    <row r="107" spans="1:35" ht="12.75">
      <c r="A107" s="6"/>
      <c r="B107" s="6"/>
      <c r="C107" s="6"/>
      <c r="D107" s="7"/>
      <c r="E107" s="6"/>
      <c r="F107" s="8"/>
      <c r="G107" s="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8"/>
      <c r="AD107" s="9"/>
      <c r="AE107" s="6"/>
      <c r="AF107" s="6"/>
      <c r="AG107" s="6"/>
      <c r="AH107" s="6"/>
      <c r="AI107" s="6"/>
    </row>
    <row r="108" spans="1:35" ht="12.75">
      <c r="A108" s="6"/>
      <c r="B108" s="6"/>
      <c r="C108" s="6"/>
      <c r="D108" s="7"/>
      <c r="E108" s="6"/>
      <c r="F108" s="8"/>
      <c r="G108" s="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8"/>
      <c r="AD108" s="9"/>
      <c r="AE108" s="6"/>
      <c r="AF108" s="6"/>
      <c r="AG108" s="6"/>
      <c r="AH108" s="6"/>
      <c r="AI108" s="6"/>
    </row>
    <row r="109" spans="1:35" ht="12.75">
      <c r="A109" s="6"/>
      <c r="B109" s="6"/>
      <c r="C109" s="6"/>
      <c r="D109" s="10"/>
      <c r="E109" s="6"/>
      <c r="F109" s="8"/>
      <c r="G109" s="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8"/>
      <c r="AD109" s="9"/>
      <c r="AE109" s="6"/>
      <c r="AF109" s="13"/>
      <c r="AG109" s="6"/>
      <c r="AH109" s="6"/>
      <c r="AI109" s="6"/>
    </row>
    <row r="110" spans="1:35" ht="12.75">
      <c r="A110" s="6"/>
      <c r="B110" s="6"/>
      <c r="C110" s="6"/>
      <c r="D110" s="10"/>
      <c r="E110" s="6"/>
      <c r="F110" s="8"/>
      <c r="G110" s="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8"/>
      <c r="AD110" s="9"/>
      <c r="AE110" s="6"/>
      <c r="AF110" s="13"/>
      <c r="AG110" s="6"/>
      <c r="AH110" s="6"/>
      <c r="AI110" s="6"/>
    </row>
    <row r="111" spans="1:35" ht="12.75">
      <c r="A111" s="6"/>
      <c r="B111" s="6"/>
      <c r="C111" s="6"/>
      <c r="D111" s="7"/>
      <c r="E111" s="6"/>
      <c r="F111" s="8"/>
      <c r="G111" s="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8"/>
      <c r="AD111" s="9"/>
      <c r="AE111" s="6"/>
      <c r="AF111" s="6"/>
      <c r="AG111" s="6"/>
      <c r="AH111" s="6"/>
      <c r="AI111" s="6"/>
    </row>
    <row r="112" spans="1:35" ht="12.75">
      <c r="A112" s="6"/>
      <c r="B112" s="6"/>
      <c r="C112" s="6"/>
      <c r="D112" s="10"/>
      <c r="E112" s="6"/>
      <c r="F112" s="8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8"/>
      <c r="AD112" s="9"/>
      <c r="AE112" s="6"/>
      <c r="AF112" s="13"/>
      <c r="AG112" s="6"/>
      <c r="AH112" s="6"/>
      <c r="AI112" s="6"/>
    </row>
    <row r="113" spans="1:35" ht="12.75">
      <c r="A113" s="6"/>
      <c r="B113" s="6"/>
      <c r="C113" s="6"/>
      <c r="D113" s="10"/>
      <c r="E113" s="6"/>
      <c r="F113" s="8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8"/>
      <c r="AD113" s="9"/>
      <c r="AE113" s="6"/>
      <c r="AF113" s="13"/>
      <c r="AG113" s="6"/>
      <c r="AH113" s="6"/>
      <c r="AI113" s="6"/>
    </row>
    <row r="114" spans="1:35" ht="12.75">
      <c r="A114" s="6"/>
      <c r="B114" s="6"/>
      <c r="C114" s="6"/>
      <c r="D114" s="10"/>
      <c r="E114" s="6"/>
      <c r="F114" s="8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8"/>
      <c r="AD114" s="9"/>
      <c r="AE114" s="6"/>
      <c r="AF114" s="13"/>
      <c r="AG114" s="6"/>
      <c r="AH114" s="6"/>
      <c r="AI114" s="6"/>
    </row>
    <row r="115" spans="1:35" ht="12.75">
      <c r="A115" s="6"/>
      <c r="B115" s="6"/>
      <c r="C115" s="6"/>
      <c r="D115" s="7"/>
      <c r="E115" s="6"/>
      <c r="F115" s="8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8"/>
      <c r="AD115" s="9"/>
      <c r="AE115" s="6"/>
      <c r="AF115" s="6"/>
      <c r="AG115" s="6"/>
      <c r="AH115" s="6"/>
      <c r="AI115" s="6"/>
    </row>
    <row r="116" spans="1:35" ht="12.75">
      <c r="A116" s="6"/>
      <c r="B116" s="6"/>
      <c r="C116" s="6"/>
      <c r="D116" s="7"/>
      <c r="E116" s="6"/>
      <c r="F116" s="8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8"/>
      <c r="AD116" s="9"/>
      <c r="AE116" s="6"/>
      <c r="AF116" s="6"/>
      <c r="AG116" s="6"/>
      <c r="AH116" s="6"/>
      <c r="AI116" s="6"/>
    </row>
    <row r="117" spans="1:35" ht="12.75">
      <c r="A117" s="6"/>
      <c r="B117" s="6"/>
      <c r="C117" s="6"/>
      <c r="D117" s="7"/>
      <c r="E117" s="6"/>
      <c r="F117" s="8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8"/>
      <c r="AD117" s="9"/>
      <c r="AE117" s="6"/>
      <c r="AF117" s="6"/>
      <c r="AG117" s="6"/>
      <c r="AH117" s="6"/>
      <c r="AI117" s="6"/>
    </row>
    <row r="118" spans="1:35" ht="12.75">
      <c r="A118" s="6"/>
      <c r="B118" s="6"/>
      <c r="C118" s="6"/>
      <c r="D118" s="10"/>
      <c r="E118" s="6"/>
      <c r="F118" s="8"/>
      <c r="G118" s="9"/>
      <c r="H118" s="1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8"/>
      <c r="AD118" s="9"/>
      <c r="AE118" s="6"/>
      <c r="AF118" s="13"/>
      <c r="AG118" s="6"/>
      <c r="AH118" s="6"/>
      <c r="AI118" s="6"/>
    </row>
    <row r="119" spans="1:35" ht="12.75">
      <c r="A119" s="6"/>
      <c r="B119" s="6"/>
      <c r="C119" s="6"/>
      <c r="D119" s="7"/>
      <c r="E119" s="6"/>
      <c r="F119" s="8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8"/>
      <c r="AD119" s="9"/>
      <c r="AE119" s="6"/>
      <c r="AF119" s="6"/>
      <c r="AG119" s="6"/>
      <c r="AH119" s="6"/>
      <c r="AI119" s="6"/>
    </row>
    <row r="120" spans="1:35" ht="12.75">
      <c r="A120" s="6"/>
      <c r="B120" s="6"/>
      <c r="C120" s="6"/>
      <c r="D120" s="7"/>
      <c r="E120" s="6"/>
      <c r="F120" s="8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8"/>
      <c r="AD120" s="9"/>
      <c r="AE120" s="6"/>
      <c r="AF120" s="6"/>
      <c r="AG120" s="6"/>
      <c r="AH120" s="6"/>
      <c r="AI120" s="6"/>
    </row>
    <row r="121" spans="1:35" ht="12.75">
      <c r="A121" s="6"/>
      <c r="B121" s="6"/>
      <c r="C121" s="6"/>
      <c r="D121" s="10"/>
      <c r="E121" s="6"/>
      <c r="F121" s="8"/>
      <c r="G121" s="9"/>
      <c r="H121" s="1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8"/>
      <c r="AD121" s="9"/>
      <c r="AE121" s="6"/>
      <c r="AF121" s="13"/>
      <c r="AG121" s="6"/>
      <c r="AH121" s="6"/>
      <c r="AI121" s="6"/>
    </row>
    <row r="122" spans="1:35" ht="12.75">
      <c r="A122" s="6"/>
      <c r="B122" s="6"/>
      <c r="C122" s="6"/>
      <c r="D122" s="10"/>
      <c r="E122" s="6"/>
      <c r="F122" s="8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8"/>
      <c r="AD122" s="9"/>
      <c r="AE122" s="6"/>
      <c r="AF122" s="13"/>
      <c r="AG122" s="6"/>
      <c r="AH122" s="6"/>
      <c r="AI122" s="6"/>
    </row>
    <row r="123" spans="1:35" ht="12.75">
      <c r="A123" s="6"/>
      <c r="B123" s="6"/>
      <c r="C123" s="6"/>
      <c r="D123" s="10"/>
      <c r="E123" s="6"/>
      <c r="F123" s="8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8"/>
      <c r="AD123" s="9"/>
      <c r="AE123" s="6"/>
      <c r="AF123" s="13"/>
      <c r="AG123" s="6"/>
      <c r="AH123" s="6"/>
      <c r="AI123" s="6"/>
    </row>
    <row r="124" spans="1:35" ht="12.75">
      <c r="A124" s="6"/>
      <c r="B124" s="6"/>
      <c r="C124" s="6"/>
      <c r="D124" s="7"/>
      <c r="E124" s="6"/>
      <c r="F124" s="8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8"/>
      <c r="AD124" s="9"/>
      <c r="AE124" s="6"/>
      <c r="AF124" s="6"/>
      <c r="AG124" s="6"/>
      <c r="AH124" s="6"/>
      <c r="AI124" s="6"/>
    </row>
    <row r="125" spans="1:35" ht="12.75">
      <c r="A125" s="6"/>
      <c r="B125" s="6"/>
      <c r="C125" s="6"/>
      <c r="D125" s="7"/>
      <c r="E125" s="6"/>
      <c r="F125" s="8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8"/>
      <c r="AD125" s="9"/>
      <c r="AE125" s="6"/>
      <c r="AF125" s="6"/>
      <c r="AG125" s="6"/>
      <c r="AH125" s="6"/>
      <c r="AI125" s="6"/>
    </row>
    <row r="126" spans="1:35" ht="12.75">
      <c r="A126" s="6"/>
      <c r="B126" s="6"/>
      <c r="C126" s="6"/>
      <c r="D126" s="10"/>
      <c r="E126" s="6"/>
      <c r="F126" s="8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8"/>
      <c r="AD126" s="9"/>
      <c r="AE126" s="6"/>
      <c r="AF126" s="13"/>
      <c r="AG126" s="6"/>
      <c r="AH126" s="6"/>
      <c r="AI126" s="6"/>
    </row>
    <row r="127" spans="1:35" ht="12.75">
      <c r="A127" s="6"/>
      <c r="B127" s="6"/>
      <c r="C127" s="6"/>
      <c r="D127" s="10"/>
      <c r="E127" s="6"/>
      <c r="F127" s="8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8"/>
      <c r="AD127" s="9"/>
      <c r="AE127" s="6"/>
      <c r="AF127" s="13"/>
      <c r="AG127" s="6"/>
      <c r="AH127" s="6"/>
      <c r="AI127" s="6"/>
    </row>
    <row r="128" spans="1:35" ht="12.75">
      <c r="A128" s="6"/>
      <c r="B128" s="6"/>
      <c r="C128" s="6"/>
      <c r="D128" s="10"/>
      <c r="E128" s="6"/>
      <c r="F128" s="8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8"/>
      <c r="AD128" s="9"/>
      <c r="AE128" s="6"/>
      <c r="AF128" s="13"/>
      <c r="AG128" s="6"/>
      <c r="AH128" s="6"/>
      <c r="AI128" s="6"/>
    </row>
    <row r="129" spans="1:35" ht="12.75">
      <c r="A129" s="6"/>
      <c r="B129" s="6"/>
      <c r="C129" s="6"/>
      <c r="D129" s="10"/>
      <c r="E129" s="6"/>
      <c r="F129" s="8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8"/>
      <c r="AD129" s="9"/>
      <c r="AE129" s="6"/>
      <c r="AF129" s="13"/>
      <c r="AG129" s="6"/>
      <c r="AH129" s="6"/>
      <c r="AI129" s="6"/>
    </row>
    <row r="130" spans="1:35" ht="12.75">
      <c r="A130" s="6"/>
      <c r="B130" s="6"/>
      <c r="C130" s="6"/>
      <c r="D130" s="10"/>
      <c r="E130" s="6"/>
      <c r="F130" s="8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8"/>
      <c r="AD130" s="9"/>
      <c r="AE130" s="6"/>
      <c r="AF130" s="13"/>
      <c r="AG130" s="6"/>
      <c r="AH130" s="6"/>
      <c r="AI130" s="6"/>
    </row>
    <row r="131" spans="1:35" ht="12.75">
      <c r="A131" s="6"/>
      <c r="B131" s="6"/>
      <c r="C131" s="6"/>
      <c r="D131" s="7"/>
      <c r="E131" s="6"/>
      <c r="F131" s="8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8"/>
      <c r="AD131" s="9"/>
      <c r="AE131" s="6"/>
      <c r="AF131" s="6"/>
      <c r="AG131" s="6"/>
      <c r="AH131" s="6"/>
      <c r="AI131" s="6"/>
    </row>
    <row r="132" spans="1:35" ht="12.75">
      <c r="A132" s="6"/>
      <c r="B132" s="6"/>
      <c r="C132" s="6"/>
      <c r="D132" s="7"/>
      <c r="E132" s="6"/>
      <c r="F132" s="8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8"/>
      <c r="AD132" s="9"/>
      <c r="AE132" s="6"/>
      <c r="AF132" s="6"/>
      <c r="AG132" s="6"/>
      <c r="AH132" s="6"/>
      <c r="AI132" s="6"/>
    </row>
    <row r="133" spans="1:35" ht="12.75">
      <c r="A133" s="6"/>
      <c r="B133" s="6"/>
      <c r="C133" s="6"/>
      <c r="D133" s="7"/>
      <c r="E133" s="6"/>
      <c r="F133" s="8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8"/>
      <c r="AD133" s="9"/>
      <c r="AE133" s="6"/>
      <c r="AF133" s="6"/>
      <c r="AG133" s="6"/>
      <c r="AH133" s="6"/>
      <c r="AI133" s="6"/>
    </row>
    <row r="134" spans="1:35" ht="12.75">
      <c r="A134" s="6"/>
      <c r="B134" s="6"/>
      <c r="C134" s="6"/>
      <c r="D134" s="10"/>
      <c r="E134" s="6"/>
      <c r="F134" s="8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8"/>
      <c r="AD134" s="9"/>
      <c r="AE134" s="6"/>
      <c r="AF134" s="13"/>
      <c r="AG134" s="6"/>
      <c r="AH134" s="6"/>
      <c r="AI134" s="6"/>
    </row>
    <row r="135" spans="1:35" ht="12.75">
      <c r="A135" s="6"/>
      <c r="B135" s="6"/>
      <c r="C135" s="6"/>
      <c r="D135" s="7"/>
      <c r="E135" s="6"/>
      <c r="F135" s="8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8"/>
      <c r="AD135" s="9"/>
      <c r="AE135" s="6"/>
      <c r="AF135" s="6"/>
      <c r="AG135" s="6"/>
      <c r="AH135" s="6"/>
      <c r="AI135" s="6"/>
    </row>
    <row r="136" spans="1:35" ht="12.75">
      <c r="A136" s="6"/>
      <c r="B136" s="6"/>
      <c r="C136" s="6"/>
      <c r="D136" s="10"/>
      <c r="E136" s="6"/>
      <c r="F136" s="8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8"/>
      <c r="AD136" s="9"/>
      <c r="AE136" s="6"/>
      <c r="AF136" s="13"/>
      <c r="AG136" s="6"/>
      <c r="AH136" s="6"/>
      <c r="AI136" s="6"/>
    </row>
    <row r="137" spans="1:35" ht="12.75">
      <c r="A137" s="6"/>
      <c r="B137" s="6"/>
      <c r="C137" s="6"/>
      <c r="D137" s="7"/>
      <c r="E137" s="6"/>
      <c r="F137" s="8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8"/>
      <c r="AD137" s="9"/>
      <c r="AE137" s="6"/>
      <c r="AF137" s="6"/>
      <c r="AG137" s="6"/>
      <c r="AH137" s="6"/>
      <c r="AI137" s="6"/>
    </row>
    <row r="138" spans="1:35" ht="12.75">
      <c r="A138" s="6"/>
      <c r="B138" s="6"/>
      <c r="C138" s="6"/>
      <c r="D138" s="10"/>
      <c r="E138" s="6"/>
      <c r="F138" s="8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8"/>
      <c r="AD138" s="9"/>
      <c r="AE138" s="6"/>
      <c r="AF138" s="13"/>
      <c r="AG138" s="6"/>
      <c r="AH138" s="6"/>
      <c r="AI138" s="6"/>
    </row>
    <row r="139" spans="1:35" ht="12.75">
      <c r="A139" s="6"/>
      <c r="B139" s="6"/>
      <c r="C139" s="6"/>
      <c r="D139" s="10"/>
      <c r="E139" s="6"/>
      <c r="F139" s="8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8"/>
      <c r="AD139" s="9"/>
      <c r="AE139" s="6"/>
      <c r="AF139" s="13"/>
      <c r="AG139" s="6"/>
      <c r="AH139" s="6"/>
      <c r="AI139" s="6"/>
    </row>
    <row r="140" spans="1:35" ht="12.75">
      <c r="A140" s="6"/>
      <c r="B140" s="6"/>
      <c r="C140" s="6"/>
      <c r="D140" s="10"/>
      <c r="E140" s="6"/>
      <c r="F140" s="8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8"/>
      <c r="AD140" s="9"/>
      <c r="AE140" s="6"/>
      <c r="AF140" s="13"/>
      <c r="AG140" s="6"/>
      <c r="AH140" s="6"/>
      <c r="AI140" s="6"/>
    </row>
    <row r="141" spans="1:35" ht="12.75">
      <c r="A141" s="6"/>
      <c r="B141" s="6"/>
      <c r="C141" s="6"/>
      <c r="D141" s="10"/>
      <c r="E141" s="6"/>
      <c r="F141" s="8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8"/>
      <c r="AD141" s="9"/>
      <c r="AE141" s="6"/>
      <c r="AF141" s="13"/>
      <c r="AG141" s="6"/>
      <c r="AH141" s="6"/>
      <c r="AI141" s="6"/>
    </row>
    <row r="142" spans="1:35" ht="12.75">
      <c r="A142" s="6"/>
      <c r="B142" s="6"/>
      <c r="C142" s="6"/>
      <c r="D142" s="7"/>
      <c r="E142" s="6"/>
      <c r="F142" s="8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8"/>
      <c r="AD142" s="9"/>
      <c r="AE142" s="6"/>
      <c r="AF142" s="6"/>
      <c r="AG142" s="6"/>
      <c r="AH142" s="6"/>
      <c r="AI142" s="6"/>
    </row>
    <row r="143" spans="1:35" ht="12.75">
      <c r="A143" s="6"/>
      <c r="B143" s="6"/>
      <c r="C143" s="6"/>
      <c r="D143" s="7"/>
      <c r="E143" s="6"/>
      <c r="F143" s="8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8"/>
      <c r="AD143" s="9"/>
      <c r="AE143" s="6"/>
      <c r="AF143" s="6"/>
      <c r="AG143" s="6"/>
      <c r="AH143" s="6"/>
      <c r="AI143" s="6"/>
    </row>
    <row r="144" spans="1:35" ht="12.75">
      <c r="A144" s="6"/>
      <c r="B144" s="6"/>
      <c r="C144" s="6"/>
      <c r="D144" s="7"/>
      <c r="E144" s="6"/>
      <c r="F144" s="8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8"/>
      <c r="AD144" s="9"/>
      <c r="AE144" s="6"/>
      <c r="AF144" s="6"/>
      <c r="AG144" s="6"/>
      <c r="AH144" s="6"/>
      <c r="AI144" s="6"/>
    </row>
    <row r="145" spans="1:35" ht="12.75">
      <c r="A145" s="6"/>
      <c r="B145" s="6"/>
      <c r="C145" s="6"/>
      <c r="D145" s="10"/>
      <c r="E145" s="6"/>
      <c r="F145" s="8"/>
      <c r="G145" s="9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8"/>
      <c r="AD145" s="9"/>
      <c r="AE145" s="6"/>
      <c r="AF145" s="13"/>
      <c r="AG145" s="6"/>
      <c r="AH145" s="6"/>
      <c r="AI145" s="6"/>
    </row>
    <row r="146" spans="1:35" ht="12.75">
      <c r="A146" s="6"/>
      <c r="B146" s="6"/>
      <c r="C146" s="6"/>
      <c r="D146" s="7"/>
      <c r="E146" s="6"/>
      <c r="F146" s="8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8"/>
      <c r="AD146" s="9"/>
      <c r="AE146" s="6"/>
      <c r="AF146" s="6"/>
      <c r="AG146" s="6"/>
      <c r="AH146" s="6"/>
      <c r="AI146" s="6"/>
    </row>
    <row r="147" spans="1:35" ht="12.75">
      <c r="A147" s="6"/>
      <c r="B147" s="6"/>
      <c r="C147" s="6"/>
      <c r="D147" s="10"/>
      <c r="E147" s="6"/>
      <c r="F147" s="8"/>
      <c r="G147" s="9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8"/>
      <c r="AD147" s="9"/>
      <c r="AE147" s="6"/>
      <c r="AF147" s="13"/>
      <c r="AG147" s="6"/>
      <c r="AH147" s="6"/>
      <c r="AI147" s="6"/>
    </row>
    <row r="148" spans="1:35" ht="12.75">
      <c r="A148" s="6"/>
      <c r="B148" s="6"/>
      <c r="C148" s="6"/>
      <c r="D148" s="7"/>
      <c r="E148" s="6"/>
      <c r="F148" s="8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8"/>
      <c r="AD148" s="9"/>
      <c r="AE148" s="6"/>
      <c r="AF148" s="6"/>
      <c r="AG148" s="6"/>
      <c r="AH148" s="6"/>
      <c r="AI148" s="6"/>
    </row>
    <row r="149" spans="1:35" ht="12.75">
      <c r="A149" s="6"/>
      <c r="B149" s="6"/>
      <c r="C149" s="6"/>
      <c r="D149" s="10"/>
      <c r="E149" s="6"/>
      <c r="F149" s="8"/>
      <c r="G149" s="9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8"/>
      <c r="AD149" s="9"/>
      <c r="AE149" s="6"/>
      <c r="AF149" s="13"/>
      <c r="AG149" s="6"/>
      <c r="AH149" s="6"/>
      <c r="AI149" s="6"/>
    </row>
    <row r="150" spans="1:35" ht="12.75">
      <c r="A150" s="6"/>
      <c r="B150" s="6"/>
      <c r="C150" s="6"/>
      <c r="D150" s="7"/>
      <c r="E150" s="6"/>
      <c r="F150" s="8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8"/>
      <c r="AD150" s="9"/>
      <c r="AE150" s="6"/>
      <c r="AF150" s="6"/>
      <c r="AG150" s="6"/>
      <c r="AH150" s="6"/>
      <c r="AI150" s="6"/>
    </row>
    <row r="151" spans="1:35" ht="12.75">
      <c r="A151" s="6"/>
      <c r="B151" s="6"/>
      <c r="C151" s="6"/>
      <c r="D151" s="10"/>
      <c r="E151" s="6"/>
      <c r="F151" s="8"/>
      <c r="G151" s="9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8"/>
      <c r="AD151" s="9"/>
      <c r="AE151" s="6"/>
      <c r="AF151" s="13"/>
      <c r="AG151" s="6"/>
      <c r="AH151" s="6"/>
      <c r="AI151" s="6"/>
    </row>
    <row r="152" spans="1:35" ht="12.75">
      <c r="A152" s="6"/>
      <c r="B152" s="6"/>
      <c r="C152" s="6"/>
      <c r="D152" s="7"/>
      <c r="E152" s="6"/>
      <c r="F152" s="8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8"/>
      <c r="AD152" s="9"/>
      <c r="AE152" s="6"/>
      <c r="AF152" s="6"/>
      <c r="AG152" s="6"/>
      <c r="AH152" s="6"/>
      <c r="AI152" s="6"/>
    </row>
    <row r="153" spans="1:35" ht="12.75">
      <c r="A153" s="6"/>
      <c r="B153" s="6"/>
      <c r="C153" s="6"/>
      <c r="D153" s="7"/>
      <c r="E153" s="6"/>
      <c r="F153" s="8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8"/>
      <c r="AD153" s="9"/>
      <c r="AE153" s="6"/>
      <c r="AF153" s="6"/>
      <c r="AG153" s="6"/>
      <c r="AH153" s="6"/>
      <c r="AI153" s="6"/>
    </row>
    <row r="154" spans="1:35" ht="12.75">
      <c r="A154" s="6"/>
      <c r="B154" s="6"/>
      <c r="C154" s="6"/>
      <c r="D154" s="7"/>
      <c r="E154" s="6"/>
      <c r="F154" s="8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8"/>
      <c r="AD154" s="9"/>
      <c r="AE154" s="6"/>
      <c r="AF154" s="6"/>
      <c r="AG154" s="6"/>
      <c r="AH154" s="6"/>
      <c r="AI154" s="6"/>
    </row>
    <row r="155" spans="1:35" ht="12.75">
      <c r="A155" s="6"/>
      <c r="B155" s="6"/>
      <c r="C155" s="6"/>
      <c r="D155" s="7"/>
      <c r="E155" s="6"/>
      <c r="F155" s="8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8"/>
      <c r="AD155" s="9"/>
      <c r="AE155" s="6"/>
      <c r="AF155" s="6"/>
      <c r="AG155" s="6"/>
      <c r="AH155" s="6"/>
      <c r="AI155" s="6"/>
    </row>
    <row r="156" spans="1:35" ht="12.75">
      <c r="A156" s="6"/>
      <c r="B156" s="6"/>
      <c r="C156" s="6"/>
      <c r="D156" s="10"/>
      <c r="E156" s="6"/>
      <c r="F156" s="8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8"/>
      <c r="AD156" s="9"/>
      <c r="AE156" s="6"/>
      <c r="AF156" s="13"/>
      <c r="AG156" s="6"/>
      <c r="AH156" s="6"/>
      <c r="AI156" s="6"/>
    </row>
    <row r="157" spans="1:35" ht="12.75">
      <c r="A157" s="6"/>
      <c r="B157" s="6"/>
      <c r="C157" s="6"/>
      <c r="D157" s="10"/>
      <c r="E157" s="6"/>
      <c r="F157" s="8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8"/>
      <c r="AD157" s="9"/>
      <c r="AE157" s="6"/>
      <c r="AF157" s="13"/>
      <c r="AG157" s="6"/>
      <c r="AH157" s="6"/>
      <c r="AI157" s="6"/>
    </row>
    <row r="158" spans="1:35" ht="12.75">
      <c r="A158" s="6"/>
      <c r="B158" s="6"/>
      <c r="C158" s="6"/>
      <c r="D158" s="10"/>
      <c r="E158" s="6"/>
      <c r="F158" s="8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8"/>
      <c r="AD158" s="9"/>
      <c r="AE158" s="6"/>
      <c r="AF158" s="13"/>
      <c r="AG158" s="6"/>
      <c r="AH158" s="6"/>
      <c r="AI158" s="6"/>
    </row>
    <row r="159" spans="1:35" ht="12.75">
      <c r="A159" s="6"/>
      <c r="B159" s="6"/>
      <c r="C159" s="6"/>
      <c r="D159" s="10"/>
      <c r="E159" s="6"/>
      <c r="F159" s="8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8"/>
      <c r="AD159" s="9"/>
      <c r="AE159" s="6"/>
      <c r="AF159" s="13"/>
      <c r="AG159" s="6"/>
      <c r="AH159" s="6"/>
      <c r="AI159" s="6"/>
    </row>
    <row r="160" spans="1:35" ht="12.75">
      <c r="A160" s="6"/>
      <c r="B160" s="6"/>
      <c r="C160" s="6"/>
      <c r="D160" s="10"/>
      <c r="E160" s="6"/>
      <c r="F160" s="8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8"/>
      <c r="AD160" s="9"/>
      <c r="AE160" s="6"/>
      <c r="AF160" s="13"/>
      <c r="AG160" s="6"/>
      <c r="AH160" s="6"/>
      <c r="AI160" s="6"/>
    </row>
    <row r="161" spans="1:35" ht="12.75">
      <c r="A161" s="6"/>
      <c r="B161" s="6"/>
      <c r="C161" s="6"/>
      <c r="D161" s="10"/>
      <c r="E161" s="6"/>
      <c r="F161" s="8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8"/>
      <c r="AD161" s="9"/>
      <c r="AE161" s="6"/>
      <c r="AF161" s="13"/>
      <c r="AG161" s="6"/>
      <c r="AH161" s="6"/>
      <c r="AI161" s="6"/>
    </row>
    <row r="162" spans="1:35" ht="12.75">
      <c r="A162" s="6"/>
      <c r="B162" s="6"/>
      <c r="C162" s="6"/>
      <c r="D162" s="10"/>
      <c r="E162" s="6"/>
      <c r="F162" s="8"/>
      <c r="G162" s="9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8"/>
      <c r="AD162" s="9"/>
      <c r="AE162" s="6"/>
      <c r="AF162" s="13"/>
      <c r="AG162" s="6"/>
      <c r="AH162" s="6"/>
      <c r="AI162" s="6"/>
    </row>
    <row r="163" spans="1:35" ht="12.75">
      <c r="A163" s="6"/>
      <c r="B163" s="6"/>
      <c r="C163" s="6"/>
      <c r="D163" s="10"/>
      <c r="E163" s="6"/>
      <c r="F163" s="8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8"/>
      <c r="AD163" s="9"/>
      <c r="AE163" s="6"/>
      <c r="AF163" s="13"/>
      <c r="AG163" s="6"/>
      <c r="AH163" s="6"/>
      <c r="AI163" s="6"/>
    </row>
    <row r="164" spans="1:35" ht="12.75">
      <c r="A164" s="6"/>
      <c r="B164" s="6"/>
      <c r="C164" s="6"/>
      <c r="D164" s="7"/>
      <c r="E164" s="6"/>
      <c r="F164" s="8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8"/>
      <c r="AD164" s="9"/>
      <c r="AE164" s="6"/>
      <c r="AF164" s="6"/>
      <c r="AG164" s="6"/>
      <c r="AH164" s="6"/>
      <c r="AI164" s="6"/>
    </row>
    <row r="165" spans="1:35" ht="12.75">
      <c r="A165" s="6"/>
      <c r="B165" s="6"/>
      <c r="C165" s="6"/>
      <c r="D165" s="7"/>
      <c r="E165" s="6"/>
      <c r="F165" s="8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8"/>
      <c r="AD165" s="9"/>
      <c r="AE165" s="6"/>
      <c r="AF165" s="6"/>
      <c r="AG165" s="6"/>
      <c r="AH165" s="6"/>
      <c r="AI165" s="6"/>
    </row>
    <row r="166" spans="1:35" ht="12.75">
      <c r="A166" s="6"/>
      <c r="B166" s="6"/>
      <c r="C166" s="6"/>
      <c r="D166" s="7"/>
      <c r="E166" s="6"/>
      <c r="F166" s="8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8"/>
      <c r="AD166" s="9"/>
      <c r="AE166" s="6"/>
      <c r="AF166" s="6"/>
      <c r="AG166" s="6"/>
      <c r="AH166" s="6"/>
      <c r="AI166" s="6"/>
    </row>
    <row r="167" spans="1:35" ht="12.75">
      <c r="A167" s="6"/>
      <c r="B167" s="6"/>
      <c r="C167" s="6"/>
      <c r="D167" s="10"/>
      <c r="E167" s="6"/>
      <c r="F167" s="8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8"/>
      <c r="AD167" s="9"/>
      <c r="AE167" s="6"/>
      <c r="AF167" s="13"/>
      <c r="AG167" s="6"/>
      <c r="AH167" s="6"/>
      <c r="AI167" s="6"/>
    </row>
    <row r="168" spans="1:35" ht="12.75">
      <c r="A168" s="6"/>
      <c r="B168" s="6"/>
      <c r="C168" s="6"/>
      <c r="D168" s="7"/>
      <c r="E168" s="6"/>
      <c r="F168" s="8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8"/>
      <c r="AD168" s="9"/>
      <c r="AE168" s="6"/>
      <c r="AF168" s="6"/>
      <c r="AG168" s="6"/>
      <c r="AH168" s="6"/>
      <c r="AI168" s="6"/>
    </row>
    <row r="169" spans="1:35" ht="12.75">
      <c r="A169" s="6"/>
      <c r="B169" s="6"/>
      <c r="C169" s="6"/>
      <c r="D169" s="10"/>
      <c r="E169" s="6"/>
      <c r="F169" s="8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8"/>
      <c r="AD169" s="9"/>
      <c r="AE169" s="6"/>
      <c r="AF169" s="13"/>
      <c r="AG169" s="6"/>
      <c r="AH169" s="6"/>
      <c r="AI169" s="6"/>
    </row>
    <row r="170" spans="1:35" ht="12.75">
      <c r="A170" s="6"/>
      <c r="B170" s="6"/>
      <c r="C170" s="6"/>
      <c r="D170" s="7"/>
      <c r="E170" s="6"/>
      <c r="F170" s="8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8"/>
      <c r="AD170" s="9"/>
      <c r="AE170" s="6"/>
      <c r="AF170" s="6"/>
      <c r="AG170" s="6"/>
      <c r="AH170" s="6"/>
      <c r="AI170" s="6"/>
    </row>
    <row r="171" spans="1:35" ht="12.75">
      <c r="A171" s="6"/>
      <c r="B171" s="6"/>
      <c r="C171" s="6"/>
      <c r="D171" s="10"/>
      <c r="E171" s="6"/>
      <c r="F171" s="8"/>
      <c r="G171" s="9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8"/>
      <c r="AD171" s="9"/>
      <c r="AE171" s="6"/>
      <c r="AF171" s="13"/>
      <c r="AG171" s="6"/>
      <c r="AH171" s="6"/>
      <c r="AI171" s="6"/>
    </row>
    <row r="172" spans="1:35" ht="12.75">
      <c r="A172" s="6"/>
      <c r="B172" s="6"/>
      <c r="C172" s="6"/>
      <c r="D172" s="7"/>
      <c r="E172" s="6"/>
      <c r="F172" s="8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8"/>
      <c r="AD172" s="9"/>
      <c r="AE172" s="6"/>
      <c r="AF172" s="6"/>
      <c r="AG172" s="6"/>
      <c r="AH172" s="6"/>
      <c r="AI172" s="6"/>
    </row>
    <row r="173" spans="1:35" ht="12.75">
      <c r="A173" s="6"/>
      <c r="B173" s="6"/>
      <c r="C173" s="6"/>
      <c r="D173" s="7"/>
      <c r="E173" s="6"/>
      <c r="F173" s="8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8"/>
      <c r="AD173" s="9"/>
      <c r="AE173" s="6"/>
      <c r="AF173" s="6"/>
      <c r="AG173" s="6"/>
      <c r="AH173" s="6"/>
      <c r="AI173" s="6"/>
    </row>
    <row r="174" spans="1:35" ht="12.75">
      <c r="A174" s="6"/>
      <c r="B174" s="6"/>
      <c r="C174" s="6"/>
      <c r="D174" s="10"/>
      <c r="E174" s="6"/>
      <c r="F174" s="8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8"/>
      <c r="AD174" s="9"/>
      <c r="AE174" s="6"/>
      <c r="AF174" s="13"/>
      <c r="AG174" s="6"/>
      <c r="AH174" s="6"/>
      <c r="AI174" s="6"/>
    </row>
    <row r="175" spans="1:35" ht="12.75">
      <c r="A175" s="6"/>
      <c r="B175" s="6"/>
      <c r="C175" s="6"/>
      <c r="D175" s="10"/>
      <c r="E175" s="6"/>
      <c r="F175" s="8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8"/>
      <c r="AD175" s="9"/>
      <c r="AE175" s="6"/>
      <c r="AF175" s="13"/>
      <c r="AG175" s="6"/>
      <c r="AH175" s="6"/>
      <c r="AI175" s="6"/>
    </row>
    <row r="176" spans="1:35" ht="12.75">
      <c r="A176" s="6"/>
      <c r="B176" s="6"/>
      <c r="C176" s="6"/>
      <c r="D176" s="7"/>
      <c r="E176" s="6"/>
      <c r="F176" s="8"/>
      <c r="G176" s="9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8"/>
      <c r="AD176" s="9"/>
      <c r="AE176" s="6"/>
      <c r="AF176" s="6"/>
      <c r="AG176" s="6"/>
      <c r="AH176" s="6"/>
      <c r="AI176" s="6"/>
    </row>
    <row r="177" spans="1:35" ht="12.75">
      <c r="A177" s="6"/>
      <c r="B177" s="6"/>
      <c r="C177" s="6"/>
      <c r="D177" s="7"/>
      <c r="E177" s="6"/>
      <c r="F177" s="8"/>
      <c r="G177" s="9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8"/>
      <c r="AD177" s="9"/>
      <c r="AE177" s="6"/>
      <c r="AF177" s="6"/>
      <c r="AG177" s="6"/>
      <c r="AH177" s="6"/>
      <c r="AI177" s="6"/>
    </row>
    <row r="178" spans="1:35" ht="12.75">
      <c r="A178" s="6"/>
      <c r="B178" s="6"/>
      <c r="C178" s="6"/>
      <c r="D178" s="10"/>
      <c r="E178" s="6"/>
      <c r="F178" s="8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8"/>
      <c r="AD178" s="9"/>
      <c r="AE178" s="6"/>
      <c r="AF178" s="13"/>
      <c r="AG178" s="6"/>
      <c r="AH178" s="6"/>
      <c r="AI178" s="6"/>
    </row>
    <row r="179" spans="1:35" ht="12.75">
      <c r="A179" s="6"/>
      <c r="B179" s="6"/>
      <c r="C179" s="6"/>
      <c r="D179" s="10"/>
      <c r="E179" s="6"/>
      <c r="F179" s="8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8"/>
      <c r="AD179" s="9"/>
      <c r="AE179" s="6"/>
      <c r="AF179" s="13"/>
      <c r="AG179" s="6"/>
      <c r="AH179" s="6"/>
      <c r="AI179" s="6"/>
    </row>
    <row r="180" spans="1:35" ht="12.75">
      <c r="A180" s="6"/>
      <c r="B180" s="6"/>
      <c r="C180" s="6"/>
      <c r="D180" s="10"/>
      <c r="E180" s="6"/>
      <c r="F180" s="8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8"/>
      <c r="AD180" s="9"/>
      <c r="AE180" s="6"/>
      <c r="AF180" s="13"/>
      <c r="AG180" s="6"/>
      <c r="AH180" s="6"/>
      <c r="AI180" s="6"/>
    </row>
    <row r="181" spans="1:35" ht="12.75">
      <c r="A181" s="6"/>
      <c r="B181" s="6"/>
      <c r="C181" s="6"/>
      <c r="D181" s="7"/>
      <c r="E181" s="6"/>
      <c r="F181" s="8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8"/>
      <c r="AD181" s="9"/>
      <c r="AE181" s="6"/>
      <c r="AF181" s="6"/>
      <c r="AG181" s="6"/>
      <c r="AH181" s="6"/>
      <c r="AI181" s="6"/>
    </row>
    <row r="182" spans="1:35" ht="12.75">
      <c r="A182" s="6"/>
      <c r="B182" s="6"/>
      <c r="C182" s="6"/>
      <c r="D182" s="7"/>
      <c r="E182" s="6"/>
      <c r="F182" s="8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8"/>
      <c r="AD182" s="9"/>
      <c r="AE182" s="6"/>
      <c r="AF182" s="6"/>
      <c r="AG182" s="6"/>
      <c r="AH182" s="6"/>
      <c r="AI182" s="6"/>
    </row>
    <row r="183" spans="1:35" ht="12.75">
      <c r="A183" s="6"/>
      <c r="B183" s="6"/>
      <c r="C183" s="6"/>
      <c r="D183" s="7"/>
      <c r="E183" s="6"/>
      <c r="F183" s="8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8"/>
      <c r="AD183" s="9"/>
      <c r="AE183" s="6"/>
      <c r="AF183" s="6"/>
      <c r="AG183" s="6"/>
      <c r="AH183" s="6"/>
      <c r="AI183" s="6"/>
    </row>
    <row r="184" spans="1:35" ht="12.75">
      <c r="A184" s="6"/>
      <c r="B184" s="6"/>
      <c r="C184" s="6"/>
      <c r="D184" s="7"/>
      <c r="E184" s="6"/>
      <c r="F184" s="8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8"/>
      <c r="AD184" s="9"/>
      <c r="AE184" s="6"/>
      <c r="AF184" s="6"/>
      <c r="AG184" s="6"/>
      <c r="AH184" s="6"/>
      <c r="AI184" s="6"/>
    </row>
    <row r="185" spans="1:35" ht="12.75">
      <c r="A185" s="6"/>
      <c r="B185" s="6"/>
      <c r="C185" s="6"/>
      <c r="D185" s="7"/>
      <c r="E185" s="6"/>
      <c r="F185" s="8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8"/>
      <c r="AD185" s="9"/>
      <c r="AE185" s="6"/>
      <c r="AF185" s="6"/>
      <c r="AG185" s="6"/>
      <c r="AH185" s="6"/>
      <c r="AI185" s="6"/>
    </row>
    <row r="186" spans="1:35" ht="12.75">
      <c r="A186" s="6"/>
      <c r="B186" s="6"/>
      <c r="C186" s="6"/>
      <c r="D186" s="7"/>
      <c r="E186" s="6"/>
      <c r="F186" s="8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8"/>
      <c r="AD186" s="9"/>
      <c r="AE186" s="6"/>
      <c r="AF186" s="6"/>
      <c r="AG186" s="6"/>
      <c r="AH186" s="6"/>
      <c r="AI186" s="6"/>
    </row>
    <row r="187" spans="1:35" ht="12.75">
      <c r="A187" s="6"/>
      <c r="B187" s="6"/>
      <c r="C187" s="6"/>
      <c r="D187" s="7"/>
      <c r="E187" s="6"/>
      <c r="F187" s="8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8"/>
      <c r="AD187" s="9"/>
      <c r="AE187" s="6"/>
      <c r="AF187" s="6"/>
      <c r="AG187" s="6"/>
      <c r="AH187" s="6"/>
      <c r="AI187" s="6"/>
    </row>
    <row r="188" spans="1:35" ht="12.75">
      <c r="A188" s="6"/>
      <c r="B188" s="6"/>
      <c r="C188" s="6"/>
      <c r="D188" s="7"/>
      <c r="E188" s="6"/>
      <c r="F188" s="8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8"/>
      <c r="AD188" s="9"/>
      <c r="AE188" s="6"/>
      <c r="AF188" s="6"/>
      <c r="AG188" s="6"/>
      <c r="AH188" s="6"/>
      <c r="AI188" s="6"/>
    </row>
    <row r="189" spans="1:35" ht="12.75">
      <c r="A189" s="6"/>
      <c r="B189" s="6"/>
      <c r="C189" s="6"/>
      <c r="D189" s="7"/>
      <c r="E189" s="6"/>
      <c r="F189" s="8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8"/>
      <c r="AD189" s="9"/>
      <c r="AE189" s="6"/>
      <c r="AF189" s="6"/>
      <c r="AG189" s="6"/>
      <c r="AH189" s="6"/>
      <c r="AI189" s="6"/>
    </row>
    <row r="190" spans="1:35" ht="12.75">
      <c r="A190" s="6"/>
      <c r="B190" s="6"/>
      <c r="C190" s="6"/>
      <c r="D190" s="7"/>
      <c r="E190" s="6"/>
      <c r="F190" s="8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8"/>
      <c r="AD190" s="9"/>
      <c r="AE190" s="6"/>
      <c r="AF190" s="6"/>
      <c r="AG190" s="6"/>
      <c r="AH190" s="6"/>
      <c r="AI190" s="6"/>
    </row>
    <row r="191" spans="1:35" ht="12.75">
      <c r="A191" s="6"/>
      <c r="B191" s="6"/>
      <c r="C191" s="6"/>
      <c r="D191" s="7"/>
      <c r="E191" s="6"/>
      <c r="F191" s="8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8"/>
      <c r="AD191" s="9"/>
      <c r="AE191" s="6"/>
      <c r="AF191" s="6"/>
      <c r="AG191" s="6"/>
      <c r="AH191" s="6"/>
      <c r="AI191" s="6"/>
    </row>
    <row r="192" spans="1:35" ht="12.75">
      <c r="A192" s="6"/>
      <c r="B192" s="6"/>
      <c r="C192" s="6"/>
      <c r="D192" s="7"/>
      <c r="E192" s="6"/>
      <c r="F192" s="8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8"/>
      <c r="AD192" s="9"/>
      <c r="AE192" s="6"/>
      <c r="AF192" s="6"/>
      <c r="AG192" s="6"/>
      <c r="AH192" s="6"/>
      <c r="AI192" s="6"/>
    </row>
    <row r="193" spans="1:35" ht="12.75">
      <c r="A193" s="6"/>
      <c r="B193" s="6"/>
      <c r="C193" s="6"/>
      <c r="D193" s="7"/>
      <c r="E193" s="6"/>
      <c r="F193" s="8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8"/>
      <c r="AD193" s="9"/>
      <c r="AE193" s="6"/>
      <c r="AF193" s="6"/>
      <c r="AG193" s="6"/>
      <c r="AH193" s="6"/>
      <c r="AI193" s="6"/>
    </row>
    <row r="194" spans="1:35" ht="12.75">
      <c r="A194" s="6"/>
      <c r="B194" s="6"/>
      <c r="C194" s="6"/>
      <c r="D194" s="10"/>
      <c r="E194" s="6"/>
      <c r="F194" s="8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8"/>
      <c r="AD194" s="9"/>
      <c r="AE194" s="6"/>
      <c r="AF194" s="13"/>
      <c r="AG194" s="6"/>
      <c r="AH194" s="6"/>
      <c r="AI194" s="6"/>
    </row>
    <row r="195" spans="1:35" ht="12.75">
      <c r="A195" s="6"/>
      <c r="B195" s="6"/>
      <c r="C195" s="6"/>
      <c r="D195" s="7"/>
      <c r="E195" s="6"/>
      <c r="F195" s="8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8"/>
      <c r="AD195" s="9"/>
      <c r="AE195" s="6"/>
      <c r="AF195" s="6"/>
      <c r="AG195" s="6"/>
      <c r="AH195" s="6"/>
      <c r="AI195" s="6"/>
    </row>
    <row r="196" spans="1:35" ht="12.75">
      <c r="A196" s="6"/>
      <c r="B196" s="6"/>
      <c r="C196" s="6"/>
      <c r="D196" s="7"/>
      <c r="E196" s="6"/>
      <c r="F196" s="8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8"/>
      <c r="AD196" s="9"/>
      <c r="AE196" s="6"/>
      <c r="AF196" s="6"/>
      <c r="AG196" s="6"/>
      <c r="AH196" s="6"/>
      <c r="AI196" s="6"/>
    </row>
    <row r="197" spans="1:35" ht="12.75">
      <c r="A197" s="6"/>
      <c r="B197" s="6"/>
      <c r="C197" s="6"/>
      <c r="D197" s="7"/>
      <c r="E197" s="6"/>
      <c r="F197" s="8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8"/>
      <c r="AD197" s="9"/>
      <c r="AE197" s="6"/>
      <c r="AF197" s="6"/>
      <c r="AG197" s="6"/>
      <c r="AH197" s="6"/>
      <c r="AI197" s="6"/>
    </row>
    <row r="198" spans="1:35" ht="12.75">
      <c r="A198" s="6"/>
      <c r="B198" s="6"/>
      <c r="C198" s="6"/>
      <c r="D198" s="10"/>
      <c r="E198" s="6"/>
      <c r="F198" s="8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8"/>
      <c r="AD198" s="9"/>
      <c r="AE198" s="6"/>
      <c r="AF198" s="13"/>
      <c r="AG198" s="6"/>
      <c r="AH198" s="6"/>
      <c r="AI198" s="6"/>
    </row>
    <row r="199" spans="1:35" ht="12.75">
      <c r="A199" s="6"/>
      <c r="B199" s="6"/>
      <c r="C199" s="6"/>
      <c r="D199" s="10"/>
      <c r="E199" s="6"/>
      <c r="F199" s="8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8"/>
      <c r="AD199" s="9"/>
      <c r="AE199" s="6"/>
      <c r="AF199" s="13"/>
      <c r="AG199" s="6"/>
      <c r="AH199" s="6"/>
      <c r="AI199" s="6"/>
    </row>
    <row r="200" spans="1:35" ht="12.75">
      <c r="A200" s="6"/>
      <c r="B200" s="6"/>
      <c r="C200" s="6"/>
      <c r="D200" s="10"/>
      <c r="E200" s="6"/>
      <c r="F200" s="8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8"/>
      <c r="AD200" s="9"/>
      <c r="AE200" s="6"/>
      <c r="AF200" s="13"/>
      <c r="AG200" s="6"/>
      <c r="AH200" s="6"/>
      <c r="AI200" s="6"/>
    </row>
    <row r="201" spans="1:35" ht="12.75">
      <c r="A201" s="6"/>
      <c r="B201" s="6"/>
      <c r="C201" s="6"/>
      <c r="D201" s="7"/>
      <c r="E201" s="6"/>
      <c r="F201" s="8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8"/>
      <c r="AD201" s="9"/>
      <c r="AE201" s="6"/>
      <c r="AF201" s="6"/>
      <c r="AG201" s="6"/>
      <c r="AH201" s="6"/>
      <c r="AI201" s="6"/>
    </row>
    <row r="202" spans="1:35" ht="12.75">
      <c r="A202" s="6"/>
      <c r="B202" s="6"/>
      <c r="C202" s="6"/>
      <c r="D202" s="7"/>
      <c r="E202" s="6"/>
      <c r="F202" s="8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8"/>
      <c r="AD202" s="9"/>
      <c r="AE202" s="6"/>
      <c r="AF202" s="6"/>
      <c r="AG202" s="6"/>
      <c r="AH202" s="6"/>
      <c r="AI202" s="6"/>
    </row>
    <row r="203" spans="1:35" ht="12.75">
      <c r="A203" s="6"/>
      <c r="B203" s="6"/>
      <c r="C203" s="6"/>
      <c r="D203" s="10"/>
      <c r="E203" s="6"/>
      <c r="F203" s="8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8"/>
      <c r="AD203" s="9"/>
      <c r="AE203" s="6"/>
      <c r="AF203" s="13"/>
      <c r="AG203" s="6"/>
      <c r="AH203" s="6"/>
      <c r="AI203" s="6"/>
    </row>
    <row r="204" spans="1:35" ht="12.75">
      <c r="A204" s="6"/>
      <c r="B204" s="6"/>
      <c r="C204" s="6"/>
      <c r="D204" s="7"/>
      <c r="E204" s="6"/>
      <c r="F204" s="8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8"/>
      <c r="AD204" s="9"/>
      <c r="AE204" s="6"/>
      <c r="AF204" s="6"/>
      <c r="AG204" s="6"/>
      <c r="AH204" s="6"/>
      <c r="AI204" s="6"/>
    </row>
    <row r="205" spans="1:35" ht="12.75">
      <c r="A205" s="6"/>
      <c r="B205" s="6"/>
      <c r="C205" s="6"/>
      <c r="D205" s="7"/>
      <c r="E205" s="6"/>
      <c r="F205" s="8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8"/>
      <c r="AD205" s="9"/>
      <c r="AE205" s="6"/>
      <c r="AF205" s="6"/>
      <c r="AG205" s="6"/>
      <c r="AH205" s="6"/>
      <c r="AI205" s="6"/>
    </row>
    <row r="206" spans="1:35" ht="12.75">
      <c r="A206" s="6"/>
      <c r="B206" s="6"/>
      <c r="C206" s="6"/>
      <c r="D206" s="7"/>
      <c r="E206" s="6"/>
      <c r="F206" s="8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8"/>
      <c r="AD206" s="9"/>
      <c r="AE206" s="6"/>
      <c r="AF206" s="6"/>
      <c r="AG206" s="6"/>
      <c r="AH206" s="6"/>
      <c r="AI206" s="6"/>
    </row>
    <row r="207" spans="1:35" ht="12.75">
      <c r="A207" s="6"/>
      <c r="B207" s="6"/>
      <c r="C207" s="6"/>
      <c r="D207" s="7"/>
      <c r="E207" s="6"/>
      <c r="F207" s="8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8"/>
      <c r="AD207" s="9"/>
      <c r="AE207" s="6"/>
      <c r="AF207" s="6"/>
      <c r="AG207" s="6"/>
      <c r="AH207" s="6"/>
      <c r="AI207" s="6"/>
    </row>
    <row r="208" spans="1:35" ht="12.75">
      <c r="A208" s="6"/>
      <c r="B208" s="6"/>
      <c r="C208" s="6"/>
      <c r="D208" s="10"/>
      <c r="E208" s="6"/>
      <c r="F208" s="8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8"/>
      <c r="AD208" s="9"/>
      <c r="AE208" s="6"/>
      <c r="AF208" s="13"/>
      <c r="AG208" s="6"/>
      <c r="AH208" s="6"/>
      <c r="AI208" s="6"/>
    </row>
    <row r="209" spans="1:35" ht="12.75">
      <c r="A209" s="6"/>
      <c r="B209" s="6"/>
      <c r="C209" s="6"/>
      <c r="D209" s="7"/>
      <c r="E209" s="6"/>
      <c r="F209" s="8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8"/>
      <c r="AD209" s="9"/>
      <c r="AE209" s="6"/>
      <c r="AF209" s="6"/>
      <c r="AG209" s="6"/>
      <c r="AH209" s="6"/>
      <c r="AI209" s="6"/>
    </row>
    <row r="210" spans="1:35" ht="12.75">
      <c r="A210" s="6"/>
      <c r="B210" s="6"/>
      <c r="C210" s="6"/>
      <c r="D210" s="10"/>
      <c r="E210" s="6"/>
      <c r="F210" s="8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8"/>
      <c r="AD210" s="9"/>
      <c r="AE210" s="6"/>
      <c r="AF210" s="13"/>
      <c r="AG210" s="6"/>
      <c r="AH210" s="6"/>
      <c r="AI210" s="6"/>
    </row>
    <row r="211" spans="1:35" ht="12.75">
      <c r="A211" s="6"/>
      <c r="B211" s="6"/>
      <c r="C211" s="6"/>
      <c r="D211" s="7"/>
      <c r="E211" s="6"/>
      <c r="F211" s="8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8"/>
      <c r="AD211" s="9"/>
      <c r="AE211" s="6"/>
      <c r="AF211" s="6"/>
      <c r="AG211" s="6"/>
      <c r="AH211" s="6"/>
      <c r="AI211" s="6"/>
    </row>
    <row r="212" spans="1:35" ht="12.75">
      <c r="A212" s="6"/>
      <c r="B212" s="6"/>
      <c r="C212" s="6"/>
      <c r="D212" s="10"/>
      <c r="E212" s="6"/>
      <c r="F212" s="8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8"/>
      <c r="AD212" s="9"/>
      <c r="AE212" s="6"/>
      <c r="AF212" s="13"/>
      <c r="AG212" s="6"/>
      <c r="AH212" s="6"/>
      <c r="AI212" s="6"/>
    </row>
    <row r="213" spans="1:35" ht="12.75">
      <c r="A213" s="6"/>
      <c r="B213" s="6"/>
      <c r="C213" s="6"/>
      <c r="D213" s="10"/>
      <c r="E213" s="6"/>
      <c r="F213" s="8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8"/>
      <c r="AD213" s="9"/>
      <c r="AE213" s="6"/>
      <c r="AF213" s="13"/>
      <c r="AG213" s="6"/>
      <c r="AH213" s="6"/>
      <c r="AI213" s="6"/>
    </row>
    <row r="214" spans="1:35" ht="12.75">
      <c r="A214" s="6"/>
      <c r="B214" s="6"/>
      <c r="C214" s="6"/>
      <c r="D214" s="7"/>
      <c r="E214" s="6"/>
      <c r="F214" s="8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8"/>
      <c r="AD214" s="9"/>
      <c r="AE214" s="6"/>
      <c r="AF214" s="6"/>
      <c r="AG214" s="6"/>
      <c r="AH214" s="6"/>
      <c r="AI214" s="6"/>
    </row>
    <row r="215" spans="1:35" ht="12.75">
      <c r="A215" s="6"/>
      <c r="B215" s="6"/>
      <c r="C215" s="6"/>
      <c r="D215" s="7"/>
      <c r="E215" s="6"/>
      <c r="F215" s="8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8"/>
      <c r="AD215" s="9"/>
      <c r="AE215" s="6"/>
      <c r="AF215" s="6"/>
      <c r="AG215" s="6"/>
      <c r="AH215" s="6"/>
      <c r="AI215" s="6"/>
    </row>
    <row r="216" spans="1:35" ht="12.75">
      <c r="A216" s="6"/>
      <c r="B216" s="6"/>
      <c r="C216" s="6"/>
      <c r="D216" s="10"/>
      <c r="E216" s="6"/>
      <c r="F216" s="8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8"/>
      <c r="AD216" s="9"/>
      <c r="AE216" s="6"/>
      <c r="AF216" s="13"/>
      <c r="AG216" s="6"/>
      <c r="AH216" s="6"/>
      <c r="AI216" s="6"/>
    </row>
    <row r="217" spans="1:35" ht="12.75">
      <c r="A217" s="6"/>
      <c r="B217" s="6"/>
      <c r="C217" s="6"/>
      <c r="D217" s="10"/>
      <c r="E217" s="6"/>
      <c r="F217" s="8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8"/>
      <c r="AD217" s="9"/>
      <c r="AE217" s="6"/>
      <c r="AF217" s="13"/>
      <c r="AG217" s="6"/>
      <c r="AH217" s="6"/>
      <c r="AI217" s="6"/>
    </row>
    <row r="218" spans="1:35" ht="12.75">
      <c r="A218" s="6"/>
      <c r="B218" s="6"/>
      <c r="C218" s="6"/>
      <c r="D218" s="7"/>
      <c r="E218" s="6"/>
      <c r="F218" s="8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8"/>
      <c r="AD218" s="9"/>
      <c r="AE218" s="6"/>
      <c r="AF218" s="6"/>
      <c r="AG218" s="6"/>
      <c r="AH218" s="6"/>
      <c r="AI218" s="6"/>
    </row>
    <row r="219" spans="1:35" ht="12.75">
      <c r="A219" s="6"/>
      <c r="B219" s="6"/>
      <c r="C219" s="6"/>
      <c r="D219" s="10"/>
      <c r="E219" s="6"/>
      <c r="F219" s="8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8"/>
      <c r="AD219" s="9"/>
      <c r="AE219" s="6"/>
      <c r="AF219" s="13"/>
      <c r="AG219" s="6"/>
      <c r="AH219" s="6"/>
      <c r="AI219" s="6"/>
    </row>
    <row r="220" spans="1:35" ht="12.75">
      <c r="A220" s="6"/>
      <c r="B220" s="6"/>
      <c r="C220" s="6"/>
      <c r="D220" s="10"/>
      <c r="E220" s="6"/>
      <c r="F220" s="8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8"/>
      <c r="AD220" s="9"/>
      <c r="AE220" s="6"/>
      <c r="AF220" s="13"/>
      <c r="AG220" s="6"/>
      <c r="AH220" s="6"/>
      <c r="AI220" s="6"/>
    </row>
    <row r="221" spans="1:35" ht="12.75">
      <c r="A221" s="6"/>
      <c r="B221" s="6"/>
      <c r="C221" s="6"/>
      <c r="D221" s="7"/>
      <c r="E221" s="6"/>
      <c r="F221" s="8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8"/>
      <c r="AD221" s="9"/>
      <c r="AE221" s="6"/>
      <c r="AF221" s="6"/>
      <c r="AG221" s="6"/>
      <c r="AH221" s="6"/>
      <c r="AI221" s="6"/>
    </row>
    <row r="222" spans="1:35" ht="12.75">
      <c r="A222" s="6"/>
      <c r="B222" s="6"/>
      <c r="C222" s="6"/>
      <c r="D222" s="7"/>
      <c r="E222" s="6"/>
      <c r="F222" s="8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8"/>
      <c r="AD222" s="9"/>
      <c r="AE222" s="6"/>
      <c r="AF222" s="6"/>
      <c r="AG222" s="6"/>
      <c r="AH222" s="6"/>
      <c r="AI222" s="6"/>
    </row>
    <row r="223" spans="1:35" ht="12.75">
      <c r="A223" s="6"/>
      <c r="B223" s="6"/>
      <c r="C223" s="6"/>
      <c r="D223" s="7"/>
      <c r="E223" s="6"/>
      <c r="F223" s="8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8"/>
      <c r="AD223" s="9"/>
      <c r="AE223" s="6"/>
      <c r="AF223" s="6"/>
      <c r="AG223" s="6"/>
      <c r="AH223" s="6"/>
      <c r="AI223" s="6"/>
    </row>
    <row r="224" spans="1:35" ht="12.75">
      <c r="A224" s="6"/>
      <c r="B224" s="6"/>
      <c r="C224" s="6"/>
      <c r="D224" s="10"/>
      <c r="E224" s="6"/>
      <c r="F224" s="8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8"/>
      <c r="AD224" s="9"/>
      <c r="AE224" s="6"/>
      <c r="AF224" s="13"/>
      <c r="AG224" s="6"/>
      <c r="AH224" s="6"/>
      <c r="AI224" s="6"/>
    </row>
    <row r="225" spans="1:35" ht="12.75">
      <c r="A225" s="6"/>
      <c r="B225" s="6"/>
      <c r="C225" s="6"/>
      <c r="D225" s="10"/>
      <c r="E225" s="6"/>
      <c r="F225" s="8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8"/>
      <c r="AD225" s="9"/>
      <c r="AE225" s="6"/>
      <c r="AF225" s="13"/>
      <c r="AG225" s="6"/>
      <c r="AH225" s="6"/>
      <c r="AI225" s="6"/>
    </row>
    <row r="226" spans="1:35" ht="12.75">
      <c r="A226" s="6"/>
      <c r="B226" s="6"/>
      <c r="C226" s="6"/>
      <c r="D226" s="7"/>
      <c r="E226" s="6"/>
      <c r="F226" s="8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8"/>
      <c r="AD226" s="9"/>
      <c r="AE226" s="6"/>
      <c r="AF226" s="6"/>
      <c r="AG226" s="6"/>
      <c r="AH226" s="6"/>
      <c r="AI226" s="6"/>
    </row>
    <row r="227" spans="1:35" ht="12.75">
      <c r="A227" s="6"/>
      <c r="B227" s="6"/>
      <c r="C227" s="6"/>
      <c r="D227" s="7"/>
      <c r="E227" s="6"/>
      <c r="F227" s="8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8"/>
      <c r="AD227" s="9"/>
      <c r="AE227" s="6"/>
      <c r="AF227" s="6"/>
      <c r="AG227" s="6"/>
      <c r="AH227" s="6"/>
      <c r="AI227" s="6"/>
    </row>
    <row r="228" spans="1:35" ht="12.75">
      <c r="A228" s="6"/>
      <c r="B228" s="6"/>
      <c r="C228" s="6"/>
      <c r="D228" s="10"/>
      <c r="E228" s="6"/>
      <c r="F228" s="8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8"/>
      <c r="AD228" s="9"/>
      <c r="AE228" s="6"/>
      <c r="AF228" s="13"/>
      <c r="AG228" s="6"/>
      <c r="AH228" s="6"/>
      <c r="AI228" s="6"/>
    </row>
    <row r="229" spans="1:35" ht="12.75">
      <c r="A229" s="6"/>
      <c r="B229" s="6"/>
      <c r="C229" s="6"/>
      <c r="D229" s="7"/>
      <c r="E229" s="6"/>
      <c r="F229" s="8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8"/>
      <c r="AD229" s="9"/>
      <c r="AE229" s="6"/>
      <c r="AF229" s="6"/>
      <c r="AG229" s="6"/>
      <c r="AH229" s="6"/>
      <c r="AI229" s="6"/>
    </row>
    <row r="230" spans="1:35" ht="12.75">
      <c r="A230" s="6"/>
      <c r="B230" s="6"/>
      <c r="C230" s="6"/>
      <c r="D230" s="7"/>
      <c r="E230" s="6"/>
      <c r="F230" s="8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8"/>
      <c r="AD230" s="9"/>
      <c r="AE230" s="6"/>
      <c r="AF230" s="6"/>
      <c r="AG230" s="6"/>
      <c r="AH230" s="6"/>
      <c r="AI230" s="6"/>
    </row>
    <row r="231" spans="1:35" ht="12.75">
      <c r="A231" s="6"/>
      <c r="B231" s="6"/>
      <c r="C231" s="6"/>
      <c r="D231" s="7"/>
      <c r="E231" s="6"/>
      <c r="F231" s="8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8"/>
      <c r="AD231" s="9"/>
      <c r="AE231" s="6"/>
      <c r="AF231" s="6"/>
      <c r="AG231" s="6"/>
      <c r="AH231" s="6"/>
      <c r="AI231" s="6"/>
    </row>
    <row r="232" spans="1:35" ht="12.75">
      <c r="A232" s="6"/>
      <c r="B232" s="6"/>
      <c r="C232" s="6"/>
      <c r="D232" s="7"/>
      <c r="E232" s="6"/>
      <c r="F232" s="8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8"/>
      <c r="AD232" s="9"/>
      <c r="AE232" s="6"/>
      <c r="AF232" s="6"/>
      <c r="AG232" s="6"/>
      <c r="AH232" s="6"/>
      <c r="AI232" s="6"/>
    </row>
    <row r="233" spans="1:35" ht="12.75">
      <c r="A233" s="6"/>
      <c r="B233" s="6"/>
      <c r="C233" s="6"/>
      <c r="D233" s="7"/>
      <c r="E233" s="6"/>
      <c r="F233" s="8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8"/>
      <c r="AD233" s="9"/>
      <c r="AE233" s="6"/>
      <c r="AF233" s="6"/>
      <c r="AG233" s="6"/>
      <c r="AH233" s="6"/>
      <c r="AI233" s="6"/>
    </row>
    <row r="234" spans="1:35" ht="12.75">
      <c r="A234" s="6"/>
      <c r="B234" s="6"/>
      <c r="C234" s="6"/>
      <c r="D234" s="7"/>
      <c r="E234" s="6"/>
      <c r="F234" s="8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8"/>
      <c r="AD234" s="9"/>
      <c r="AE234" s="6"/>
      <c r="AF234" s="6"/>
      <c r="AG234" s="6"/>
      <c r="AH234" s="6"/>
      <c r="AI234" s="6"/>
    </row>
    <row r="235" spans="1:35" ht="12.75">
      <c r="A235" s="6"/>
      <c r="B235" s="6"/>
      <c r="C235" s="6"/>
      <c r="D235" s="7"/>
      <c r="E235" s="6"/>
      <c r="F235" s="8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8"/>
      <c r="AD235" s="9"/>
      <c r="AE235" s="6"/>
      <c r="AF235" s="6"/>
      <c r="AG235" s="6"/>
      <c r="AH235" s="6"/>
      <c r="AI235" s="6"/>
    </row>
    <row r="236" spans="1:35" ht="12.75">
      <c r="A236" s="6"/>
      <c r="B236" s="6"/>
      <c r="C236" s="6"/>
      <c r="D236" s="7"/>
      <c r="E236" s="6"/>
      <c r="F236" s="8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8"/>
      <c r="AD236" s="9"/>
      <c r="AE236" s="6"/>
      <c r="AF236" s="12"/>
      <c r="AG236" s="6"/>
      <c r="AH236" s="6"/>
      <c r="AI236" s="6"/>
    </row>
    <row r="237" spans="1:35" ht="12.75">
      <c r="A237" s="6"/>
      <c r="B237" s="6"/>
      <c r="C237" s="6"/>
      <c r="D237" s="7"/>
      <c r="E237" s="6"/>
      <c r="F237" s="8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8"/>
      <c r="AD237" s="9"/>
      <c r="AE237" s="6"/>
      <c r="AF237" s="12"/>
      <c r="AG237" s="6"/>
      <c r="AH237" s="6"/>
      <c r="AI237" s="6"/>
    </row>
    <row r="238" spans="1:35" ht="12.75">
      <c r="A238" s="6"/>
      <c r="B238" s="6"/>
      <c r="C238" s="6"/>
      <c r="D238" s="7"/>
      <c r="E238" s="6"/>
      <c r="F238" s="8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8"/>
      <c r="AD238" s="9"/>
      <c r="AE238" s="6"/>
      <c r="AF238" s="13"/>
      <c r="AG238" s="6"/>
      <c r="AH238" s="6"/>
      <c r="AI238" s="6"/>
    </row>
    <row r="239" spans="1:35" ht="12.75">
      <c r="A239" s="6"/>
      <c r="B239" s="6"/>
      <c r="C239" s="6"/>
      <c r="D239" s="7"/>
      <c r="E239" s="6"/>
      <c r="F239" s="8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8"/>
      <c r="AD239" s="9"/>
      <c r="AE239" s="6"/>
      <c r="AF239" s="12"/>
      <c r="AG239" s="6"/>
      <c r="AH239" s="6"/>
      <c r="AI239" s="6"/>
    </row>
    <row r="240" spans="1:35" ht="12.75">
      <c r="A240" s="6"/>
      <c r="B240" s="6"/>
      <c r="C240" s="6"/>
      <c r="D240" s="7"/>
      <c r="E240" s="6"/>
      <c r="F240" s="8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8"/>
      <c r="AD240" s="9"/>
      <c r="AE240" s="6"/>
      <c r="AF240" s="12"/>
      <c r="AG240" s="6"/>
      <c r="AH240" s="6"/>
      <c r="AI240" s="6"/>
    </row>
    <row r="241" spans="1:35" ht="12.75">
      <c r="A241" s="6"/>
      <c r="B241" s="6"/>
      <c r="C241" s="6"/>
      <c r="D241" s="7"/>
      <c r="E241" s="6"/>
      <c r="F241" s="8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8"/>
      <c r="AD241" s="9"/>
      <c r="AE241" s="6"/>
      <c r="AF241" s="13"/>
      <c r="AG241" s="6"/>
      <c r="AH241" s="6"/>
      <c r="AI241" s="6"/>
    </row>
    <row r="242" spans="1:35" ht="12.75">
      <c r="A242" s="6"/>
      <c r="B242" s="6"/>
      <c r="C242" s="6"/>
      <c r="D242" s="7"/>
      <c r="E242" s="6"/>
      <c r="F242" s="8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8"/>
      <c r="AD242" s="9"/>
      <c r="AE242" s="6"/>
      <c r="AF242" s="12"/>
      <c r="AG242" s="6"/>
      <c r="AH242" s="6"/>
      <c r="AI242" s="6"/>
    </row>
    <row r="243" spans="1:35" ht="12.75">
      <c r="A243" s="6"/>
      <c r="B243" s="6"/>
      <c r="C243" s="6"/>
      <c r="D243" s="7"/>
      <c r="E243" s="6"/>
      <c r="F243" s="8"/>
      <c r="G243" s="9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8"/>
      <c r="AD243" s="9"/>
      <c r="AE243" s="6"/>
      <c r="AF243" s="13"/>
      <c r="AG243" s="6"/>
      <c r="AH243" s="6"/>
      <c r="AI243" s="6"/>
    </row>
    <row r="244" spans="1:35" ht="12.75">
      <c r="A244" s="6"/>
      <c r="B244" s="6"/>
      <c r="C244" s="6"/>
      <c r="D244" s="7"/>
      <c r="E244" s="6"/>
      <c r="F244" s="8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8"/>
      <c r="AD244" s="9"/>
      <c r="AE244" s="6"/>
      <c r="AF244" s="12"/>
      <c r="AG244" s="6"/>
      <c r="AH244" s="6"/>
      <c r="AI244" s="6"/>
    </row>
    <row r="245" spans="1:35" ht="12.75">
      <c r="A245" s="6"/>
      <c r="B245" s="6"/>
      <c r="C245" s="6"/>
      <c r="D245" s="7"/>
      <c r="E245" s="6"/>
      <c r="F245" s="8"/>
      <c r="G245" s="9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8"/>
      <c r="AD245" s="9"/>
      <c r="AE245" s="6"/>
      <c r="AF245" s="13"/>
      <c r="AG245" s="6"/>
      <c r="AH245" s="6"/>
      <c r="AI245" s="6"/>
    </row>
    <row r="246" spans="1:35" ht="12.75">
      <c r="A246" s="6"/>
      <c r="B246" s="6"/>
      <c r="C246" s="6"/>
      <c r="D246" s="7"/>
      <c r="E246" s="6"/>
      <c r="F246" s="8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8"/>
      <c r="AD246" s="9"/>
      <c r="AE246" s="6"/>
      <c r="AF246" s="12"/>
      <c r="AG246" s="6"/>
      <c r="AH246" s="6"/>
      <c r="AI246" s="6"/>
    </row>
    <row r="247" spans="1:35" ht="12.75">
      <c r="A247" s="6"/>
      <c r="B247" s="6"/>
      <c r="C247" s="6"/>
      <c r="D247" s="7"/>
      <c r="E247" s="6"/>
      <c r="F247" s="8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8"/>
      <c r="AD247" s="9"/>
      <c r="AE247" s="6"/>
      <c r="AF247" s="13"/>
      <c r="AG247" s="6"/>
      <c r="AH247" s="6"/>
      <c r="AI247" s="6"/>
    </row>
    <row r="248" spans="1:35" ht="12.75">
      <c r="A248" s="6"/>
      <c r="B248" s="6"/>
      <c r="C248" s="6"/>
      <c r="D248" s="7"/>
      <c r="E248" s="6"/>
      <c r="F248" s="8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8"/>
      <c r="AD248" s="9"/>
      <c r="AE248" s="6"/>
      <c r="AF248" s="12"/>
      <c r="AG248" s="6"/>
      <c r="AH248" s="6"/>
      <c r="AI248" s="6"/>
    </row>
    <row r="249" spans="1:35" ht="12.75">
      <c r="A249" s="6"/>
      <c r="B249" s="6"/>
      <c r="C249" s="6"/>
      <c r="D249" s="7"/>
      <c r="E249" s="6"/>
      <c r="F249" s="8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8"/>
      <c r="AD249" s="9"/>
      <c r="AE249" s="6"/>
      <c r="AF249" s="12"/>
      <c r="AG249" s="6"/>
      <c r="AH249" s="6"/>
      <c r="AI249" s="6"/>
    </row>
    <row r="250" spans="1:35" ht="12.75">
      <c r="A250" s="6"/>
      <c r="B250" s="6"/>
      <c r="C250" s="6"/>
      <c r="D250" s="7"/>
      <c r="E250" s="6"/>
      <c r="F250" s="8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8"/>
      <c r="AD250" s="9"/>
      <c r="AE250" s="6"/>
      <c r="AF250" s="13"/>
      <c r="AG250" s="6"/>
      <c r="AH250" s="6"/>
      <c r="AI250" s="6"/>
    </row>
    <row r="251" spans="1:35" ht="12.75">
      <c r="A251" s="6"/>
      <c r="B251" s="6"/>
      <c r="C251" s="6"/>
      <c r="D251" s="7"/>
      <c r="E251" s="6"/>
      <c r="F251" s="8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8"/>
      <c r="AD251" s="9"/>
      <c r="AE251" s="6"/>
      <c r="AF251" s="12"/>
      <c r="AG251" s="6"/>
      <c r="AH251" s="6"/>
      <c r="AI251" s="6"/>
    </row>
    <row r="252" spans="1:35" ht="12.75">
      <c r="A252" s="6"/>
      <c r="B252" s="6"/>
      <c r="C252" s="6"/>
      <c r="D252" s="7"/>
      <c r="E252" s="6"/>
      <c r="F252" s="8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8"/>
      <c r="AD252" s="9"/>
      <c r="AE252" s="6"/>
      <c r="AF252" s="12"/>
      <c r="AG252" s="6"/>
      <c r="AH252" s="6"/>
      <c r="AI252" s="6"/>
    </row>
    <row r="253" spans="1:35" ht="12.75">
      <c r="A253" s="6"/>
      <c r="B253" s="6"/>
      <c r="C253" s="6"/>
      <c r="D253" s="7"/>
      <c r="E253" s="6"/>
      <c r="F253" s="8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8"/>
      <c r="AD253" s="9"/>
      <c r="AE253" s="6"/>
      <c r="AF253" s="12"/>
      <c r="AG253" s="6"/>
      <c r="AH253" s="6"/>
      <c r="AI253" s="6"/>
    </row>
    <row r="254" spans="1:35" ht="12.75">
      <c r="A254" s="6"/>
      <c r="B254" s="6"/>
      <c r="C254" s="6"/>
      <c r="D254" s="7"/>
      <c r="E254" s="6"/>
      <c r="F254" s="8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8"/>
      <c r="AD254" s="9"/>
      <c r="AE254" s="6"/>
      <c r="AF254" s="13"/>
      <c r="AG254" s="6"/>
      <c r="AH254" s="6"/>
      <c r="AI254" s="6"/>
    </row>
    <row r="255" spans="1:35" ht="12.75">
      <c r="A255" s="6"/>
      <c r="B255" s="6"/>
      <c r="C255" s="6"/>
      <c r="D255" s="7"/>
      <c r="E255" s="6"/>
      <c r="F255" s="8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8"/>
      <c r="AD255" s="9"/>
      <c r="AE255" s="6"/>
      <c r="AF255" s="12"/>
      <c r="AG255" s="6"/>
      <c r="AH255" s="6"/>
      <c r="AI255" s="6"/>
    </row>
    <row r="256" spans="1:35" ht="12.75">
      <c r="A256" s="6"/>
      <c r="B256" s="6"/>
      <c r="C256" s="6"/>
      <c r="D256" s="7"/>
      <c r="E256" s="6"/>
      <c r="F256" s="8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8"/>
      <c r="AD256" s="9"/>
      <c r="AE256" s="6"/>
      <c r="AF256" s="12"/>
      <c r="AG256" s="6"/>
      <c r="AH256" s="6"/>
      <c r="AI256" s="6"/>
    </row>
    <row r="257" spans="1:35" ht="12.75">
      <c r="A257" s="6"/>
      <c r="B257" s="6"/>
      <c r="C257" s="6"/>
      <c r="D257" s="7"/>
      <c r="E257" s="6"/>
      <c r="F257" s="8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8"/>
      <c r="AD257" s="9"/>
      <c r="AE257" s="6"/>
      <c r="AF257" s="13"/>
      <c r="AG257" s="6"/>
      <c r="AH257" s="6"/>
      <c r="AI257" s="6"/>
    </row>
    <row r="258" spans="1:35" ht="12.75">
      <c r="A258" s="6"/>
      <c r="B258" s="6"/>
      <c r="C258" s="6"/>
      <c r="D258" s="7"/>
      <c r="E258" s="6"/>
      <c r="F258" s="8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8"/>
      <c r="AD258" s="9"/>
      <c r="AE258" s="6"/>
      <c r="AF258" s="12"/>
      <c r="AG258" s="6"/>
      <c r="AH258" s="6"/>
      <c r="AI258" s="6"/>
    </row>
    <row r="259" spans="1:35" ht="12.75">
      <c r="A259" s="6"/>
      <c r="B259" s="6"/>
      <c r="C259" s="6"/>
      <c r="D259" s="7"/>
      <c r="E259" s="6"/>
      <c r="F259" s="8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8"/>
      <c r="AD259" s="9"/>
      <c r="AE259" s="6"/>
      <c r="AF259" s="6"/>
      <c r="AG259" s="6"/>
      <c r="AH259" s="6"/>
      <c r="AI259" s="6"/>
    </row>
    <row r="260" spans="1:35" ht="12.75">
      <c r="A260" s="6"/>
      <c r="B260" s="6"/>
      <c r="C260" s="6"/>
      <c r="D260" s="7"/>
      <c r="E260" s="6"/>
      <c r="F260" s="8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8"/>
      <c r="AD260" s="9"/>
      <c r="AE260" s="6"/>
      <c r="AF260" s="12"/>
      <c r="AG260" s="6"/>
      <c r="AH260" s="6"/>
      <c r="AI260" s="6"/>
    </row>
    <row r="261" spans="1:35" ht="12.75">
      <c r="A261" s="6"/>
      <c r="B261" s="6"/>
      <c r="C261" s="6"/>
      <c r="D261" s="7"/>
      <c r="E261" s="6"/>
      <c r="F261" s="8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8"/>
      <c r="AD261" s="9"/>
      <c r="AE261" s="6"/>
      <c r="AF261" s="13"/>
      <c r="AG261" s="6"/>
      <c r="AH261" s="6"/>
      <c r="AI261" s="6"/>
    </row>
    <row r="262" spans="1:35" ht="12.75">
      <c r="A262" s="6"/>
      <c r="B262" s="6"/>
      <c r="C262" s="6"/>
      <c r="D262" s="7"/>
      <c r="E262" s="6"/>
      <c r="F262" s="8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8"/>
      <c r="AD262" s="9"/>
      <c r="AE262" s="6"/>
      <c r="AF262" s="6"/>
      <c r="AG262" s="6"/>
      <c r="AH262" s="6"/>
      <c r="AI262" s="6"/>
    </row>
    <row r="263" spans="1:35" ht="12.75">
      <c r="A263" s="6"/>
      <c r="B263" s="6"/>
      <c r="C263" s="6"/>
      <c r="D263" s="7"/>
      <c r="E263" s="6"/>
      <c r="F263" s="8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8"/>
      <c r="AD263" s="9"/>
      <c r="AE263" s="6"/>
      <c r="AF263" s="13"/>
      <c r="AG263" s="6"/>
      <c r="AH263" s="6"/>
      <c r="AI263" s="6"/>
    </row>
    <row r="264" spans="1:35" ht="12.75">
      <c r="A264" s="6"/>
      <c r="B264" s="6"/>
      <c r="C264" s="6"/>
      <c r="D264" s="7"/>
      <c r="E264" s="6"/>
      <c r="F264" s="8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8"/>
      <c r="AD264" s="9"/>
      <c r="AE264" s="6"/>
      <c r="AF264" s="12"/>
      <c r="AG264" s="6"/>
      <c r="AH264" s="6"/>
      <c r="AI264" s="6"/>
    </row>
    <row r="265" spans="1:35" ht="12.75">
      <c r="A265" s="6"/>
      <c r="B265" s="6"/>
      <c r="C265" s="6"/>
      <c r="D265" s="7"/>
      <c r="E265" s="6"/>
      <c r="F265" s="8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8"/>
      <c r="AD265" s="9"/>
      <c r="AE265" s="6"/>
      <c r="AF265" s="13"/>
      <c r="AG265" s="6"/>
      <c r="AH265" s="6"/>
      <c r="AI265" s="6"/>
    </row>
    <row r="266" spans="1:35" ht="12.75">
      <c r="A266" s="6"/>
      <c r="B266" s="6"/>
      <c r="C266" s="6"/>
      <c r="D266" s="7"/>
      <c r="E266" s="6"/>
      <c r="F266" s="8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8"/>
      <c r="AD266" s="9"/>
      <c r="AE266" s="6"/>
      <c r="AF266" s="6"/>
      <c r="AG266" s="6"/>
      <c r="AH266" s="6"/>
      <c r="AI266" s="6"/>
    </row>
    <row r="267" spans="1:35" ht="12.75">
      <c r="A267" s="6"/>
      <c r="B267" s="6"/>
      <c r="C267" s="6"/>
      <c r="D267" s="7"/>
      <c r="E267" s="6"/>
      <c r="F267" s="8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8"/>
      <c r="AD267" s="9"/>
      <c r="AE267" s="6"/>
      <c r="AF267" s="12"/>
      <c r="AG267" s="6"/>
      <c r="AH267" s="6"/>
      <c r="AI267" s="6"/>
    </row>
    <row r="268" spans="1:35" ht="12.75">
      <c r="A268" s="6"/>
      <c r="B268" s="6"/>
      <c r="C268" s="6"/>
      <c r="D268" s="7"/>
      <c r="E268" s="6"/>
      <c r="F268" s="8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8"/>
      <c r="AD268" s="9"/>
      <c r="AE268" s="6"/>
      <c r="AF268" s="12"/>
      <c r="AG268" s="6"/>
      <c r="AH268" s="6"/>
      <c r="AI268" s="6"/>
    </row>
    <row r="269" spans="1:35" ht="12.75">
      <c r="A269" s="6"/>
      <c r="B269" s="6"/>
      <c r="C269" s="6"/>
      <c r="D269" s="7"/>
      <c r="E269" s="6"/>
      <c r="F269" s="8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8"/>
      <c r="AD269" s="9"/>
      <c r="AE269" s="6"/>
      <c r="AF269" s="13"/>
      <c r="AG269" s="6"/>
      <c r="AH269" s="6"/>
      <c r="AI269" s="6"/>
    </row>
    <row r="270" spans="1:35" ht="12.75">
      <c r="A270" s="6"/>
      <c r="B270" s="6"/>
      <c r="C270" s="6"/>
      <c r="D270" s="7"/>
      <c r="E270" s="6"/>
      <c r="F270" s="8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8"/>
      <c r="AD270" s="9"/>
      <c r="AE270" s="6"/>
      <c r="AF270" s="6"/>
      <c r="AG270" s="6"/>
      <c r="AH270" s="6"/>
      <c r="AI270" s="6"/>
    </row>
    <row r="271" spans="1:35" ht="12.75">
      <c r="A271" s="6"/>
      <c r="B271" s="6"/>
      <c r="C271" s="6"/>
      <c r="D271" s="7"/>
      <c r="E271" s="6"/>
      <c r="F271" s="8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8"/>
      <c r="AD271" s="9"/>
      <c r="AE271" s="6"/>
      <c r="AF271" s="13"/>
      <c r="AG271" s="6"/>
      <c r="AH271" s="6"/>
      <c r="AI271" s="6"/>
    </row>
    <row r="272" spans="1:35" ht="12.75">
      <c r="A272" s="6"/>
      <c r="B272" s="6"/>
      <c r="C272" s="6"/>
      <c r="D272" s="7"/>
      <c r="E272" s="6"/>
      <c r="F272" s="8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8"/>
      <c r="AD272" s="9"/>
      <c r="AE272" s="6"/>
      <c r="AF272" s="13"/>
      <c r="AG272" s="6"/>
      <c r="AH272" s="6"/>
      <c r="AI272" s="6"/>
    </row>
    <row r="273" spans="1:35" ht="12.75">
      <c r="A273" s="6"/>
      <c r="B273" s="6"/>
      <c r="C273" s="6"/>
      <c r="D273" s="7"/>
      <c r="E273" s="6"/>
      <c r="F273" s="8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8"/>
      <c r="AD273" s="9"/>
      <c r="AE273" s="6"/>
      <c r="AF273" s="6"/>
      <c r="AG273" s="6"/>
      <c r="AH273" s="6"/>
      <c r="AI273" s="6"/>
    </row>
    <row r="274" spans="1:35" ht="12.75">
      <c r="A274" s="6"/>
      <c r="B274" s="6"/>
      <c r="C274" s="6"/>
      <c r="D274" s="7"/>
      <c r="E274" s="6"/>
      <c r="F274" s="8"/>
      <c r="G274" s="9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8"/>
      <c r="AD274" s="9"/>
      <c r="AE274" s="6"/>
      <c r="AF274" s="13"/>
      <c r="AG274" s="6"/>
      <c r="AH274" s="6"/>
      <c r="AI274" s="6"/>
    </row>
    <row r="275" spans="1:35" ht="12.75">
      <c r="A275" s="6"/>
      <c r="B275" s="6"/>
      <c r="C275" s="6"/>
      <c r="D275" s="7"/>
      <c r="E275" s="6"/>
      <c r="F275" s="8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8"/>
      <c r="AD275" s="9"/>
      <c r="AE275" s="6"/>
      <c r="AF275" s="13"/>
      <c r="AG275" s="6"/>
      <c r="AH275" s="6"/>
      <c r="AI275" s="6"/>
    </row>
    <row r="276" spans="1:35" ht="12.75">
      <c r="A276" s="6"/>
      <c r="B276" s="6"/>
      <c r="C276" s="6"/>
      <c r="D276" s="7"/>
      <c r="E276" s="6"/>
      <c r="F276" s="8"/>
      <c r="G276" s="9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8"/>
      <c r="AD276" s="9"/>
      <c r="AE276" s="6"/>
      <c r="AF276" s="13"/>
      <c r="AG276" s="6"/>
      <c r="AH276" s="6"/>
      <c r="AI276" s="6"/>
    </row>
    <row r="277" spans="1:35" ht="12.75">
      <c r="A277" s="6"/>
      <c r="B277" s="6"/>
      <c r="C277" s="6"/>
      <c r="D277" s="7"/>
      <c r="E277" s="6"/>
      <c r="F277" s="8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8"/>
      <c r="AD277" s="9"/>
      <c r="AE277" s="6"/>
      <c r="AF277" s="13"/>
      <c r="AG277" s="6"/>
      <c r="AH277" s="6"/>
      <c r="AI277" s="6"/>
    </row>
    <row r="278" spans="1:35" ht="12.75">
      <c r="A278" s="6"/>
      <c r="B278" s="6"/>
      <c r="C278" s="6"/>
      <c r="D278" s="7"/>
      <c r="E278" s="6"/>
      <c r="F278" s="8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8"/>
      <c r="AD278" s="9"/>
      <c r="AE278" s="6"/>
      <c r="AF278" s="12"/>
      <c r="AG278" s="6"/>
      <c r="AH278" s="6"/>
      <c r="AI278" s="6"/>
    </row>
    <row r="279" spans="1:35" ht="12.75">
      <c r="A279" s="6"/>
      <c r="B279" s="6"/>
      <c r="C279" s="6"/>
      <c r="D279" s="7"/>
      <c r="E279" s="6"/>
      <c r="F279" s="8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8"/>
      <c r="AD279" s="9"/>
      <c r="AE279" s="6"/>
      <c r="AF279" s="12"/>
      <c r="AG279" s="6"/>
      <c r="AH279" s="6"/>
      <c r="AI279" s="6"/>
    </row>
    <row r="280" spans="1:35" ht="12.75">
      <c r="A280" s="6"/>
      <c r="B280" s="6"/>
      <c r="C280" s="6"/>
      <c r="D280" s="7"/>
      <c r="E280" s="6"/>
      <c r="F280" s="8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8"/>
      <c r="AD280" s="9"/>
      <c r="AE280" s="6"/>
      <c r="AF280" s="6"/>
      <c r="AG280" s="6"/>
      <c r="AH280" s="6"/>
      <c r="AI280" s="6"/>
    </row>
    <row r="281" spans="1:35" ht="12.75">
      <c r="A281" s="6"/>
      <c r="B281" s="6"/>
      <c r="C281" s="6"/>
      <c r="D281" s="7"/>
      <c r="E281" s="6"/>
      <c r="F281" s="8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8"/>
      <c r="AD281" s="9"/>
      <c r="AE281" s="6"/>
      <c r="AF281" s="13"/>
      <c r="AG281" s="6"/>
      <c r="AH281" s="6"/>
      <c r="AI281" s="6"/>
    </row>
    <row r="282" spans="1:35" ht="12.75">
      <c r="A282" s="6"/>
      <c r="B282" s="6"/>
      <c r="C282" s="6"/>
      <c r="D282" s="7"/>
      <c r="E282" s="6"/>
      <c r="F282" s="8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8"/>
      <c r="AD282" s="9"/>
      <c r="AE282" s="6"/>
      <c r="AF282" s="6"/>
      <c r="AG282" s="6"/>
      <c r="AH282" s="6"/>
      <c r="AI282" s="6"/>
    </row>
    <row r="283" spans="1:35" ht="12.75">
      <c r="A283" s="6"/>
      <c r="B283" s="6"/>
      <c r="C283" s="6"/>
      <c r="D283" s="7"/>
      <c r="E283" s="6"/>
      <c r="F283" s="8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8"/>
      <c r="AD283" s="9"/>
      <c r="AE283" s="6"/>
      <c r="AF283" s="6"/>
      <c r="AG283" s="6"/>
      <c r="AH283" s="6"/>
      <c r="AI283" s="6"/>
    </row>
    <row r="284" spans="1:35" ht="12.75">
      <c r="A284" s="6"/>
      <c r="B284" s="6"/>
      <c r="C284" s="6"/>
      <c r="D284" s="7"/>
      <c r="E284" s="6"/>
      <c r="F284" s="8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8"/>
      <c r="AD284" s="9"/>
      <c r="AE284" s="6"/>
      <c r="AF284" s="6"/>
      <c r="AG284" s="6"/>
      <c r="AH284" s="6"/>
      <c r="AI284" s="6"/>
    </row>
    <row r="285" spans="1:35" ht="12.75">
      <c r="A285" s="6"/>
      <c r="B285" s="6"/>
      <c r="C285" s="6"/>
      <c r="D285" s="7"/>
      <c r="E285" s="6"/>
      <c r="F285" s="8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8"/>
      <c r="AD285" s="9"/>
      <c r="AE285" s="6"/>
      <c r="AF285" s="13"/>
      <c r="AG285" s="6"/>
      <c r="AH285" s="6"/>
      <c r="AI285" s="6"/>
    </row>
    <row r="286" spans="1:35" ht="12.75">
      <c r="A286" s="6"/>
      <c r="B286" s="6"/>
      <c r="C286" s="6"/>
      <c r="D286" s="7"/>
      <c r="E286" s="6"/>
      <c r="F286" s="8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8"/>
      <c r="AD286" s="9"/>
      <c r="AE286" s="6"/>
      <c r="AF286" s="12"/>
      <c r="AG286" s="6"/>
      <c r="AH286" s="6"/>
      <c r="AI286" s="6"/>
    </row>
    <row r="287" spans="1:35" ht="12.75">
      <c r="A287" s="6"/>
      <c r="B287" s="6"/>
      <c r="C287" s="6"/>
      <c r="D287" s="7"/>
      <c r="E287" s="6"/>
      <c r="F287" s="8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8"/>
      <c r="AD287" s="9"/>
      <c r="AE287" s="6"/>
      <c r="AF287" s="6"/>
      <c r="AG287" s="6"/>
      <c r="AH287" s="6"/>
      <c r="AI287" s="6"/>
    </row>
    <row r="288" spans="1:35" ht="12.75">
      <c r="A288" s="6"/>
      <c r="B288" s="6"/>
      <c r="C288" s="6"/>
      <c r="D288" s="7"/>
      <c r="E288" s="6"/>
      <c r="F288" s="8"/>
      <c r="G288" s="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8"/>
      <c r="AD288" s="9"/>
      <c r="AE288" s="6"/>
      <c r="AF288" s="12"/>
      <c r="AG288" s="6"/>
      <c r="AH288" s="6"/>
      <c r="AI288" s="6"/>
    </row>
    <row r="289" spans="1:35" ht="12.75">
      <c r="A289" s="6"/>
      <c r="B289" s="6"/>
      <c r="C289" s="6"/>
      <c r="D289" s="7"/>
      <c r="E289" s="6"/>
      <c r="F289" s="8"/>
      <c r="G289" s="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8"/>
      <c r="AD289" s="9"/>
      <c r="AE289" s="6"/>
      <c r="AF289" s="13"/>
      <c r="AG289" s="6"/>
      <c r="AH289" s="6"/>
      <c r="AI289" s="6"/>
    </row>
    <row r="290" spans="1:35" ht="12.75">
      <c r="A290" s="6"/>
      <c r="B290" s="6"/>
      <c r="C290" s="6"/>
      <c r="D290" s="7"/>
      <c r="E290" s="6"/>
      <c r="F290" s="8"/>
      <c r="G290" s="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8"/>
      <c r="AD290" s="9"/>
      <c r="AE290" s="6"/>
      <c r="AF290" s="6"/>
      <c r="AG290" s="6"/>
      <c r="AH290" s="6"/>
      <c r="AI290" s="6"/>
    </row>
    <row r="291" spans="1:35" ht="12.75">
      <c r="A291" s="6"/>
      <c r="B291" s="6"/>
      <c r="C291" s="6"/>
      <c r="D291" s="7"/>
      <c r="E291" s="6"/>
      <c r="F291" s="8"/>
      <c r="G291" s="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8"/>
      <c r="AD291" s="9"/>
      <c r="AE291" s="6"/>
      <c r="AF291" s="13"/>
      <c r="AG291" s="6"/>
      <c r="AH291" s="6"/>
      <c r="AI291" s="6"/>
    </row>
    <row r="292" spans="1:35" ht="12.75">
      <c r="A292" s="6"/>
      <c r="B292" s="6"/>
      <c r="C292" s="6"/>
      <c r="D292" s="7"/>
      <c r="E292" s="6"/>
      <c r="F292" s="8"/>
      <c r="G292" s="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8"/>
      <c r="AD292" s="9"/>
      <c r="AE292" s="6"/>
      <c r="AF292" s="12"/>
      <c r="AG292" s="6"/>
      <c r="AH292" s="6"/>
      <c r="AI292" s="6"/>
    </row>
    <row r="293" spans="1:35" ht="12.75">
      <c r="A293" s="6"/>
      <c r="B293" s="6"/>
      <c r="C293" s="6"/>
      <c r="D293" s="7"/>
      <c r="E293" s="6"/>
      <c r="F293" s="8"/>
      <c r="G293" s="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8"/>
      <c r="AD293" s="9"/>
      <c r="AE293" s="6"/>
      <c r="AF293" s="13"/>
      <c r="AG293" s="6"/>
      <c r="AH293" s="6"/>
      <c r="AI293" s="6"/>
    </row>
    <row r="294" spans="1:35" ht="12.75">
      <c r="A294" s="6"/>
      <c r="B294" s="6"/>
      <c r="C294" s="6"/>
      <c r="D294" s="7"/>
      <c r="E294" s="6"/>
      <c r="F294" s="8"/>
      <c r="G294" s="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8"/>
      <c r="AD294" s="9"/>
      <c r="AE294" s="6"/>
      <c r="AF294" s="12"/>
      <c r="AG294" s="6"/>
      <c r="AH294" s="6"/>
      <c r="AI294" s="6"/>
    </row>
    <row r="295" spans="1:35" ht="12.75">
      <c r="A295" s="6"/>
      <c r="B295" s="6"/>
      <c r="C295" s="6"/>
      <c r="D295" s="7"/>
      <c r="E295" s="6"/>
      <c r="F295" s="8"/>
      <c r="G295" s="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8"/>
      <c r="AD295" s="9"/>
      <c r="AE295" s="6"/>
      <c r="AF295" s="12"/>
      <c r="AG295" s="6"/>
      <c r="AH295" s="6"/>
      <c r="AI295" s="6"/>
    </row>
    <row r="296" spans="1:35" ht="12.75">
      <c r="A296" s="6"/>
      <c r="B296" s="6"/>
      <c r="C296" s="6"/>
      <c r="D296" s="7"/>
      <c r="E296" s="6"/>
      <c r="F296" s="8"/>
      <c r="G296" s="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8"/>
      <c r="AD296" s="9"/>
      <c r="AE296" s="6"/>
      <c r="AF296" s="13"/>
      <c r="AG296" s="6"/>
      <c r="AH296" s="6"/>
      <c r="AI296" s="6"/>
    </row>
    <row r="297" spans="1:35" ht="12.75">
      <c r="A297" s="6"/>
      <c r="B297" s="6"/>
      <c r="C297" s="6"/>
      <c r="D297" s="7"/>
      <c r="E297" s="6"/>
      <c r="F297" s="8"/>
      <c r="G297" s="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8"/>
      <c r="AD297" s="9"/>
      <c r="AE297" s="6"/>
      <c r="AF297" s="6"/>
      <c r="AG297" s="6"/>
      <c r="AH297" s="6"/>
      <c r="AI297" s="6"/>
    </row>
    <row r="298" spans="1:35" ht="12.75">
      <c r="A298" s="6"/>
      <c r="B298" s="6"/>
      <c r="C298" s="6"/>
      <c r="D298" s="7"/>
      <c r="E298" s="6"/>
      <c r="F298" s="8"/>
      <c r="G298" s="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8"/>
      <c r="AD298" s="9"/>
      <c r="AE298" s="6"/>
      <c r="AF298" s="12"/>
      <c r="AG298" s="6"/>
      <c r="AH298" s="6"/>
      <c r="AI298" s="6"/>
    </row>
    <row r="299" spans="1:35" ht="12.75">
      <c r="A299" s="6"/>
      <c r="B299" s="6"/>
      <c r="C299" s="6"/>
      <c r="D299" s="7"/>
      <c r="E299" s="6"/>
      <c r="F299" s="8"/>
      <c r="G299" s="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8"/>
      <c r="AD299" s="9"/>
      <c r="AE299" s="6"/>
      <c r="AF299" s="13"/>
      <c r="AG299" s="6"/>
      <c r="AH299" s="6"/>
      <c r="AI299" s="6"/>
    </row>
    <row r="300" spans="1:35" ht="12.75">
      <c r="A300" s="6"/>
      <c r="B300" s="6"/>
      <c r="C300" s="6"/>
      <c r="D300" s="7"/>
      <c r="E300" s="6"/>
      <c r="F300" s="8"/>
      <c r="G300" s="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8"/>
      <c r="AD300" s="9"/>
      <c r="AE300" s="6"/>
      <c r="AF300" s="12"/>
      <c r="AG300" s="6"/>
      <c r="AH300" s="6"/>
      <c r="AI300" s="6"/>
    </row>
    <row r="301" spans="1:35" ht="12.75">
      <c r="A301" s="6"/>
      <c r="B301" s="6"/>
      <c r="C301" s="6"/>
      <c r="D301" s="7"/>
      <c r="E301" s="6"/>
      <c r="F301" s="8"/>
      <c r="G301" s="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8"/>
      <c r="AD301" s="9"/>
      <c r="AE301" s="6"/>
      <c r="AF301" s="6"/>
      <c r="AG301" s="6"/>
      <c r="AH301" s="6"/>
      <c r="AI301" s="6"/>
    </row>
    <row r="302" spans="1:35" ht="12.75">
      <c r="A302" s="6"/>
      <c r="B302" s="6"/>
      <c r="C302" s="6"/>
      <c r="D302" s="7"/>
      <c r="E302" s="6"/>
      <c r="F302" s="8"/>
      <c r="G302" s="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8"/>
      <c r="AD302" s="9"/>
      <c r="AE302" s="6"/>
      <c r="AF302" s="13"/>
      <c r="AG302" s="6"/>
      <c r="AH302" s="6"/>
      <c r="AI302" s="6"/>
    </row>
    <row r="303" spans="1:35" ht="12.75">
      <c r="A303" s="6"/>
      <c r="B303" s="6"/>
      <c r="C303" s="6"/>
      <c r="D303" s="7"/>
      <c r="E303" s="6"/>
      <c r="F303" s="8"/>
      <c r="G303" s="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8"/>
      <c r="AD303" s="9"/>
      <c r="AE303" s="6"/>
      <c r="AF303" s="12"/>
      <c r="AG303" s="6"/>
      <c r="AH303" s="6"/>
      <c r="AI303" s="6"/>
    </row>
    <row r="304" spans="1:35" ht="12.75">
      <c r="A304" s="6"/>
      <c r="B304" s="6"/>
      <c r="C304" s="6"/>
      <c r="D304" s="7"/>
      <c r="E304" s="6"/>
      <c r="F304" s="8"/>
      <c r="G304" s="9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8"/>
      <c r="AD304" s="9"/>
      <c r="AE304" s="6"/>
      <c r="AF304" s="13"/>
      <c r="AG304" s="6"/>
      <c r="AH304" s="6"/>
      <c r="AI304" s="6"/>
    </row>
    <row r="305" spans="1:35" ht="12.75">
      <c r="A305" s="6"/>
      <c r="B305" s="6"/>
      <c r="C305" s="6"/>
      <c r="D305" s="7"/>
      <c r="E305" s="6"/>
      <c r="F305" s="8"/>
      <c r="G305" s="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8"/>
      <c r="AD305" s="9"/>
      <c r="AE305" s="6"/>
      <c r="AF305" s="12"/>
      <c r="AG305" s="6"/>
      <c r="AH305" s="6"/>
      <c r="AI305" s="6"/>
    </row>
    <row r="306" spans="1:35" ht="12.75">
      <c r="A306" s="6"/>
      <c r="B306" s="6"/>
      <c r="C306" s="6"/>
      <c r="D306" s="7"/>
      <c r="E306" s="6"/>
      <c r="F306" s="8"/>
      <c r="G306" s="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8"/>
      <c r="AD306" s="9"/>
      <c r="AE306" s="6"/>
      <c r="AF306" s="13"/>
      <c r="AG306" s="6"/>
      <c r="AH306" s="6"/>
      <c r="AI306" s="6"/>
    </row>
    <row r="307" spans="1:35" ht="12.75">
      <c r="A307" s="6"/>
      <c r="B307" s="6"/>
      <c r="C307" s="6"/>
      <c r="D307" s="7"/>
      <c r="E307" s="6"/>
      <c r="F307" s="8"/>
      <c r="G307" s="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8"/>
      <c r="AD307" s="9"/>
      <c r="AE307" s="6"/>
      <c r="AF307" s="12"/>
      <c r="AG307" s="6"/>
      <c r="AH307" s="6"/>
      <c r="AI307" s="6"/>
    </row>
    <row r="308" spans="1:35" ht="12.75">
      <c r="A308" s="6"/>
      <c r="B308" s="6"/>
      <c r="C308" s="6"/>
      <c r="D308" s="7"/>
      <c r="E308" s="6"/>
      <c r="F308" s="8"/>
      <c r="G308" s="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8"/>
      <c r="AD308" s="9"/>
      <c r="AE308" s="6"/>
      <c r="AF308" s="12"/>
      <c r="AG308" s="6"/>
      <c r="AH308" s="6"/>
      <c r="AI308" s="6"/>
    </row>
    <row r="309" spans="1:35" ht="12.75">
      <c r="A309" s="6"/>
      <c r="B309" s="6"/>
      <c r="C309" s="6"/>
      <c r="D309" s="7"/>
      <c r="E309" s="6"/>
      <c r="F309" s="8"/>
      <c r="G309" s="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8"/>
      <c r="AD309" s="9"/>
      <c r="AE309" s="6"/>
      <c r="AF309" s="13"/>
      <c r="AG309" s="6"/>
      <c r="AH309" s="6"/>
      <c r="AI309" s="6"/>
    </row>
    <row r="310" spans="1:35" ht="12.75">
      <c r="A310" s="6"/>
      <c r="B310" s="6"/>
      <c r="C310" s="6"/>
      <c r="D310" s="7"/>
      <c r="E310" s="6"/>
      <c r="F310" s="8"/>
      <c r="G310" s="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8"/>
      <c r="AD310" s="9"/>
      <c r="AE310" s="6"/>
      <c r="AF310" s="12"/>
      <c r="AG310" s="6"/>
      <c r="AH310" s="6"/>
      <c r="AI310" s="6"/>
    </row>
    <row r="311" spans="1:35" ht="12.75">
      <c r="A311" s="6"/>
      <c r="B311" s="6"/>
      <c r="C311" s="6"/>
      <c r="D311" s="7"/>
      <c r="E311" s="6"/>
      <c r="F311" s="8"/>
      <c r="G311" s="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8"/>
      <c r="AD311" s="9"/>
      <c r="AE311" s="6"/>
      <c r="AF311" s="13"/>
      <c r="AG311" s="6"/>
      <c r="AH311" s="6"/>
      <c r="AI311" s="6"/>
    </row>
    <row r="312" spans="1:35" ht="12.75">
      <c r="A312" s="6"/>
      <c r="B312" s="6"/>
      <c r="C312" s="6"/>
      <c r="D312" s="7"/>
      <c r="E312" s="6"/>
      <c r="F312" s="8"/>
      <c r="G312" s="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8"/>
      <c r="AD312" s="9"/>
      <c r="AE312" s="6"/>
      <c r="AF312" s="12"/>
      <c r="AG312" s="6"/>
      <c r="AH312" s="6"/>
      <c r="AI312" s="6"/>
    </row>
    <row r="313" spans="1:35" ht="12.75">
      <c r="A313" s="6"/>
      <c r="B313" s="6"/>
      <c r="C313" s="6"/>
      <c r="D313" s="7"/>
      <c r="E313" s="6"/>
      <c r="F313" s="8"/>
      <c r="G313" s="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8"/>
      <c r="AD313" s="9"/>
      <c r="AE313" s="6"/>
      <c r="AF313" s="12"/>
      <c r="AG313" s="6"/>
      <c r="AH313" s="6"/>
      <c r="AI313" s="6"/>
    </row>
    <row r="314" spans="1:35" ht="12.75">
      <c r="A314" s="6"/>
      <c r="B314" s="6"/>
      <c r="C314" s="6"/>
      <c r="D314" s="7"/>
      <c r="E314" s="6"/>
      <c r="F314" s="8"/>
      <c r="G314" s="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8"/>
      <c r="AD314" s="9"/>
      <c r="AE314" s="6"/>
      <c r="AF314" s="12"/>
      <c r="AG314" s="6"/>
      <c r="AH314" s="6"/>
      <c r="AI314" s="6"/>
    </row>
    <row r="315" spans="1:35" ht="12.75">
      <c r="A315" s="6"/>
      <c r="B315" s="6"/>
      <c r="C315" s="6"/>
      <c r="D315" s="7"/>
      <c r="E315" s="6"/>
      <c r="F315" s="8"/>
      <c r="G315" s="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8"/>
      <c r="AD315" s="9"/>
      <c r="AE315" s="6"/>
      <c r="AF315" s="12"/>
      <c r="AG315" s="6"/>
      <c r="AH315" s="6"/>
      <c r="AI315" s="6"/>
    </row>
    <row r="316" spans="1:35" ht="12.75">
      <c r="A316" s="6"/>
      <c r="B316" s="6"/>
      <c r="C316" s="6"/>
      <c r="D316" s="7"/>
      <c r="E316" s="6"/>
      <c r="F316" s="8"/>
      <c r="G316" s="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8"/>
      <c r="AD316" s="9"/>
      <c r="AE316" s="6"/>
      <c r="AF316" s="12"/>
      <c r="AG316" s="6"/>
      <c r="AH316" s="6"/>
      <c r="AI316" s="6"/>
    </row>
    <row r="317" spans="1:35" ht="12.75">
      <c r="A317" s="6"/>
      <c r="B317" s="6"/>
      <c r="C317" s="6"/>
      <c r="D317" s="7"/>
      <c r="E317" s="6"/>
      <c r="F317" s="8"/>
      <c r="G317" s="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8"/>
      <c r="AD317" s="9"/>
      <c r="AE317" s="6"/>
      <c r="AF317" s="6"/>
      <c r="AG317" s="6"/>
      <c r="AH317" s="6"/>
      <c r="AI317" s="6"/>
    </row>
    <row r="318" spans="1:35" ht="12.75">
      <c r="A318" s="6"/>
      <c r="B318" s="6"/>
      <c r="C318" s="6"/>
      <c r="D318" s="7"/>
      <c r="E318" s="6"/>
      <c r="F318" s="8"/>
      <c r="G318" s="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8"/>
      <c r="AD318" s="9"/>
      <c r="AE318" s="6"/>
      <c r="AF318" s="12"/>
      <c r="AG318" s="6"/>
      <c r="AH318" s="6"/>
      <c r="AI318" s="6"/>
    </row>
    <row r="319" spans="1:35" ht="12.75">
      <c r="A319" s="6"/>
      <c r="B319" s="6"/>
      <c r="C319" s="6"/>
      <c r="D319" s="7"/>
      <c r="E319" s="6"/>
      <c r="F319" s="8"/>
      <c r="G319" s="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8"/>
      <c r="AD319" s="9"/>
      <c r="AE319" s="6"/>
      <c r="AF319" s="12"/>
      <c r="AG319" s="6"/>
      <c r="AH319" s="6"/>
      <c r="AI319" s="6"/>
    </row>
    <row r="320" spans="1:35" ht="12.75">
      <c r="A320" s="6"/>
      <c r="B320" s="6"/>
      <c r="C320" s="6"/>
      <c r="D320" s="7"/>
      <c r="E320" s="6"/>
      <c r="F320" s="8"/>
      <c r="G320" s="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8"/>
      <c r="AD320" s="9"/>
      <c r="AE320" s="6"/>
      <c r="AF320" s="12"/>
      <c r="AG320" s="6"/>
      <c r="AH320" s="6"/>
      <c r="AI320" s="6"/>
    </row>
    <row r="321" spans="1:35" ht="12.75">
      <c r="A321" s="6"/>
      <c r="B321" s="6"/>
      <c r="C321" s="6"/>
      <c r="D321" s="7"/>
      <c r="E321" s="6"/>
      <c r="F321" s="8"/>
      <c r="G321" s="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8"/>
      <c r="AD321" s="9"/>
      <c r="AE321" s="6"/>
      <c r="AF321" s="6"/>
      <c r="AG321" s="6"/>
      <c r="AH321" s="6"/>
      <c r="AI321" s="6"/>
    </row>
    <row r="322" spans="1:35" ht="12.75">
      <c r="A322" s="6"/>
      <c r="B322" s="6"/>
      <c r="C322" s="6"/>
      <c r="D322" s="7"/>
      <c r="E322" s="6"/>
      <c r="F322" s="8"/>
      <c r="G322" s="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8"/>
      <c r="AD322" s="9"/>
      <c r="AE322" s="6"/>
      <c r="AF322" s="6"/>
      <c r="AG322" s="6"/>
      <c r="AH322" s="6"/>
      <c r="AI322" s="6"/>
    </row>
    <row r="323" spans="1:35" ht="12.75">
      <c r="A323" s="6"/>
      <c r="B323" s="6"/>
      <c r="C323" s="6"/>
      <c r="D323" s="7"/>
      <c r="E323" s="6"/>
      <c r="F323" s="8"/>
      <c r="G323" s="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8"/>
      <c r="AD323" s="9"/>
      <c r="AE323" s="6"/>
      <c r="AF323" s="6"/>
      <c r="AG323" s="6"/>
      <c r="AH323" s="6"/>
      <c r="AI323" s="6"/>
    </row>
    <row r="324" spans="1:35" ht="12.75">
      <c r="A324" s="6"/>
      <c r="B324" s="6"/>
      <c r="C324" s="6"/>
      <c r="D324" s="7"/>
      <c r="E324" s="6"/>
      <c r="F324" s="8"/>
      <c r="G324" s="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8"/>
      <c r="AD324" s="9"/>
      <c r="AE324" s="6"/>
      <c r="AF324" s="13"/>
      <c r="AG324" s="6"/>
      <c r="AH324" s="6"/>
      <c r="AI324" s="6"/>
    </row>
    <row r="325" spans="1:35" ht="12.75">
      <c r="A325" s="6"/>
      <c r="B325" s="6"/>
      <c r="C325" s="6"/>
      <c r="D325" s="7"/>
      <c r="E325" s="6"/>
      <c r="F325" s="8"/>
      <c r="G325" s="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8"/>
      <c r="AD325" s="9"/>
      <c r="AE325" s="6"/>
      <c r="AF325" s="12"/>
      <c r="AG325" s="6"/>
      <c r="AH325" s="6"/>
      <c r="AI325" s="6"/>
    </row>
    <row r="326" spans="1:35" ht="12.75">
      <c r="A326" s="6"/>
      <c r="B326" s="6"/>
      <c r="C326" s="6"/>
      <c r="D326" s="7"/>
      <c r="E326" s="6"/>
      <c r="F326" s="8"/>
      <c r="G326" s="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8"/>
      <c r="AD326" s="9"/>
      <c r="AE326" s="6"/>
      <c r="AF326" s="6"/>
      <c r="AG326" s="6"/>
      <c r="AH326" s="6"/>
      <c r="AI326" s="6"/>
    </row>
    <row r="327" spans="1:35" ht="12.75">
      <c r="A327" s="6"/>
      <c r="B327" s="6"/>
      <c r="C327" s="6"/>
      <c r="D327" s="7"/>
      <c r="E327" s="6"/>
      <c r="F327" s="8"/>
      <c r="G327" s="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8"/>
      <c r="AD327" s="9"/>
      <c r="AE327" s="6"/>
      <c r="AF327" s="13"/>
      <c r="AG327" s="6"/>
      <c r="AH327" s="6"/>
      <c r="AI327" s="6"/>
    </row>
    <row r="328" spans="1:35" ht="12.75">
      <c r="A328" s="6"/>
      <c r="B328" s="6"/>
      <c r="C328" s="6"/>
      <c r="D328" s="7"/>
      <c r="E328" s="6"/>
      <c r="F328" s="8"/>
      <c r="G328" s="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8"/>
      <c r="AD328" s="9"/>
      <c r="AE328" s="6"/>
      <c r="AF328" s="12"/>
      <c r="AG328" s="6"/>
      <c r="AH328" s="6"/>
      <c r="AI328" s="6"/>
    </row>
    <row r="329" spans="1:35" ht="12.75">
      <c r="A329" s="6"/>
      <c r="B329" s="6"/>
      <c r="C329" s="6"/>
      <c r="D329" s="7"/>
      <c r="E329" s="6"/>
      <c r="F329" s="8"/>
      <c r="G329" s="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8"/>
      <c r="AD329" s="9"/>
      <c r="AE329" s="6"/>
      <c r="AF329" s="13"/>
      <c r="AG329" s="6"/>
      <c r="AH329" s="6"/>
      <c r="AI329" s="6"/>
    </row>
    <row r="330" spans="1:35" ht="12.75">
      <c r="A330" s="6"/>
      <c r="B330" s="6"/>
      <c r="C330" s="6"/>
      <c r="D330" s="7"/>
      <c r="E330" s="6"/>
      <c r="F330" s="8"/>
      <c r="G330" s="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8"/>
      <c r="AD330" s="9"/>
      <c r="AE330" s="6"/>
      <c r="AF330" s="6"/>
      <c r="AG330" s="6"/>
      <c r="AH330" s="6"/>
      <c r="AI330" s="6"/>
    </row>
    <row r="331" spans="1:35" ht="12.75">
      <c r="A331" s="6"/>
      <c r="B331" s="6"/>
      <c r="C331" s="6"/>
      <c r="D331" s="7"/>
      <c r="E331" s="6"/>
      <c r="F331" s="8"/>
      <c r="G331" s="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8"/>
      <c r="AD331" s="9"/>
      <c r="AE331" s="6"/>
      <c r="AF331" s="12"/>
      <c r="AG331" s="6"/>
      <c r="AH331" s="6"/>
      <c r="AI331" s="6"/>
    </row>
    <row r="332" spans="1:35" ht="12.75">
      <c r="A332" s="6"/>
      <c r="B332" s="6"/>
      <c r="C332" s="6"/>
      <c r="D332" s="7"/>
      <c r="E332" s="6"/>
      <c r="F332" s="8"/>
      <c r="G332" s="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8"/>
      <c r="AD332" s="9"/>
      <c r="AE332" s="6"/>
      <c r="AF332" s="13"/>
      <c r="AG332" s="6"/>
      <c r="AH332" s="6"/>
      <c r="AI332" s="6"/>
    </row>
    <row r="333" spans="1:35" ht="12.75">
      <c r="A333" s="6"/>
      <c r="B333" s="6"/>
      <c r="C333" s="6"/>
      <c r="D333" s="7"/>
      <c r="E333" s="6"/>
      <c r="F333" s="8"/>
      <c r="G333" s="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8"/>
      <c r="AD333" s="9"/>
      <c r="AE333" s="6"/>
      <c r="AF333" s="6"/>
      <c r="AG333" s="6"/>
      <c r="AH333" s="6"/>
      <c r="AI333" s="6"/>
    </row>
    <row r="334" spans="1:35" ht="12.75">
      <c r="A334" s="6"/>
      <c r="B334" s="6"/>
      <c r="C334" s="6"/>
      <c r="D334" s="7"/>
      <c r="E334" s="6"/>
      <c r="F334" s="8"/>
      <c r="G334" s="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8"/>
      <c r="AD334" s="9"/>
      <c r="AE334" s="6"/>
      <c r="AF334" s="13"/>
      <c r="AG334" s="6"/>
      <c r="AH334" s="6"/>
      <c r="AI334" s="6"/>
    </row>
    <row r="335" spans="1:35" ht="12.75">
      <c r="A335" s="6"/>
      <c r="B335" s="6"/>
      <c r="C335" s="6"/>
      <c r="D335" s="7"/>
      <c r="E335" s="6"/>
      <c r="F335" s="8"/>
      <c r="G335" s="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8"/>
      <c r="AD335" s="9"/>
      <c r="AE335" s="6"/>
      <c r="AF335" s="6"/>
      <c r="AG335" s="6"/>
      <c r="AH335" s="6"/>
      <c r="AI335" s="6"/>
    </row>
    <row r="336" spans="1:35" ht="12.75">
      <c r="A336" s="6"/>
      <c r="B336" s="6"/>
      <c r="C336" s="6"/>
      <c r="D336" s="7"/>
      <c r="E336" s="6"/>
      <c r="F336" s="8"/>
      <c r="G336" s="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8"/>
      <c r="AD336" s="9"/>
      <c r="AE336" s="6"/>
      <c r="AF336" s="6"/>
      <c r="AG336" s="6"/>
      <c r="AH336" s="6"/>
      <c r="AI336" s="6"/>
    </row>
    <row r="337" spans="1:35" ht="12.75">
      <c r="A337" s="6"/>
      <c r="B337" s="6"/>
      <c r="C337" s="6"/>
      <c r="D337" s="7"/>
      <c r="E337" s="6"/>
      <c r="F337" s="8"/>
      <c r="G337" s="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8"/>
      <c r="AD337" s="9"/>
      <c r="AE337" s="6"/>
      <c r="AF337" s="6"/>
      <c r="AG337" s="6"/>
      <c r="AH337" s="6"/>
      <c r="AI337" s="6"/>
    </row>
    <row r="338" spans="1:35" ht="12.75">
      <c r="A338" s="6"/>
      <c r="B338" s="6"/>
      <c r="C338" s="6"/>
      <c r="D338" s="7"/>
      <c r="E338" s="6"/>
      <c r="F338" s="8"/>
      <c r="G338" s="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8"/>
      <c r="AD338" s="9"/>
      <c r="AE338" s="6"/>
      <c r="AF338" s="6"/>
      <c r="AG338" s="6"/>
      <c r="AH338" s="6"/>
      <c r="AI338" s="6"/>
    </row>
    <row r="339" spans="1:35" ht="12.75">
      <c r="A339" s="6"/>
      <c r="B339" s="6"/>
      <c r="C339" s="6"/>
      <c r="D339" s="7"/>
      <c r="E339" s="6"/>
      <c r="F339" s="8"/>
      <c r="G339" s="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8"/>
      <c r="AD339" s="9"/>
      <c r="AE339" s="6"/>
      <c r="AF339" s="6"/>
      <c r="AG339" s="6"/>
      <c r="AH339" s="6"/>
      <c r="AI339" s="6"/>
    </row>
    <row r="340" spans="1:35" ht="12.75">
      <c r="A340" s="6"/>
      <c r="B340" s="6"/>
      <c r="C340" s="6"/>
      <c r="D340" s="7"/>
      <c r="E340" s="6"/>
      <c r="F340" s="8"/>
      <c r="G340" s="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8"/>
      <c r="AD340" s="9"/>
      <c r="AE340" s="6"/>
      <c r="AF340" s="6"/>
      <c r="AG340" s="6"/>
      <c r="AH340" s="6"/>
      <c r="AI340" s="6"/>
    </row>
    <row r="341" spans="1:35" ht="12.75">
      <c r="A341" s="6"/>
      <c r="B341" s="6"/>
      <c r="C341" s="6"/>
      <c r="D341" s="7"/>
      <c r="E341" s="6"/>
      <c r="F341" s="8"/>
      <c r="G341" s="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8"/>
      <c r="AD341" s="9"/>
      <c r="AE341" s="6"/>
      <c r="AF341" s="6"/>
      <c r="AG341" s="6"/>
      <c r="AH341" s="6"/>
      <c r="AI341" s="6"/>
    </row>
    <row r="342" spans="1:35" ht="12.75">
      <c r="A342" s="6"/>
      <c r="B342" s="6"/>
      <c r="C342" s="6"/>
      <c r="D342" s="7"/>
      <c r="E342" s="6"/>
      <c r="F342" s="8"/>
      <c r="G342" s="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8"/>
      <c r="AD342" s="9"/>
      <c r="AE342" s="6"/>
      <c r="AF342" s="12"/>
      <c r="AG342" s="6"/>
      <c r="AH342" s="6"/>
      <c r="AI342" s="6"/>
    </row>
    <row r="343" spans="1:35" ht="12.75">
      <c r="A343" s="6"/>
      <c r="B343" s="6"/>
      <c r="C343" s="6"/>
      <c r="D343" s="7"/>
      <c r="E343" s="6"/>
      <c r="F343" s="8"/>
      <c r="G343" s="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8"/>
      <c r="AD343" s="9"/>
      <c r="AE343" s="6"/>
      <c r="AF343" s="12"/>
      <c r="AG343" s="6"/>
      <c r="AH343" s="6"/>
      <c r="AI343" s="6"/>
    </row>
    <row r="344" spans="1:35" ht="12.75">
      <c r="A344" s="6"/>
      <c r="B344" s="6"/>
      <c r="C344" s="6"/>
      <c r="D344" s="7"/>
      <c r="E344" s="6"/>
      <c r="F344" s="8"/>
      <c r="G344" s="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8"/>
      <c r="AD344" s="9"/>
      <c r="AE344" s="6"/>
      <c r="AF344" s="6"/>
      <c r="AG344" s="6"/>
      <c r="AH344" s="6"/>
      <c r="AI344" s="6"/>
    </row>
    <row r="345" spans="1:35" ht="12.75">
      <c r="A345" s="6"/>
      <c r="B345" s="6"/>
      <c r="C345" s="6"/>
      <c r="D345" s="7"/>
      <c r="E345" s="6"/>
      <c r="F345" s="8"/>
      <c r="G345" s="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8"/>
      <c r="AD345" s="9"/>
      <c r="AE345" s="6"/>
      <c r="AF345" s="13"/>
      <c r="AG345" s="6"/>
      <c r="AH345" s="6"/>
      <c r="AI345" s="6"/>
    </row>
    <row r="346" spans="1:35" ht="12.75">
      <c r="A346" s="6"/>
      <c r="B346" s="6"/>
      <c r="C346" s="6"/>
      <c r="D346" s="7"/>
      <c r="E346" s="6"/>
      <c r="F346" s="8"/>
      <c r="G346" s="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8"/>
      <c r="AD346" s="9"/>
      <c r="AE346" s="6"/>
      <c r="AF346" s="13"/>
      <c r="AG346" s="6"/>
      <c r="AH346" s="6"/>
      <c r="AI346" s="6"/>
    </row>
    <row r="347" spans="1:35" ht="12.75">
      <c r="A347" s="6"/>
      <c r="B347" s="6"/>
      <c r="C347" s="6"/>
      <c r="D347" s="7"/>
      <c r="E347" s="6"/>
      <c r="F347" s="8"/>
      <c r="G347" s="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8"/>
      <c r="AD347" s="9"/>
      <c r="AE347" s="6"/>
      <c r="AF347" s="6"/>
      <c r="AG347" s="6"/>
      <c r="AH347" s="6"/>
      <c r="AI347" s="6"/>
    </row>
    <row r="348" spans="1:35" ht="12.75">
      <c r="A348" s="6"/>
      <c r="B348" s="6"/>
      <c r="C348" s="6"/>
      <c r="D348" s="7"/>
      <c r="E348" s="6"/>
      <c r="F348" s="8"/>
      <c r="G348" s="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8"/>
      <c r="AD348" s="9"/>
      <c r="AE348" s="6"/>
      <c r="AF348" s="12"/>
      <c r="AG348" s="6"/>
      <c r="AH348" s="6"/>
      <c r="AI348" s="6"/>
    </row>
    <row r="349" spans="1:35" ht="12.75">
      <c r="A349" s="6"/>
      <c r="B349" s="6"/>
      <c r="C349" s="6"/>
      <c r="D349" s="7"/>
      <c r="E349" s="6"/>
      <c r="F349" s="8"/>
      <c r="G349" s="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8"/>
      <c r="AD349" s="9"/>
      <c r="AE349" s="6"/>
      <c r="AF349" s="13"/>
      <c r="AG349" s="6"/>
      <c r="AH349" s="6"/>
      <c r="AI349" s="6"/>
    </row>
    <row r="350" spans="1:35" ht="12.75">
      <c r="A350" s="6"/>
      <c r="B350" s="6"/>
      <c r="C350" s="6"/>
      <c r="D350" s="7"/>
      <c r="E350" s="6"/>
      <c r="F350" s="8"/>
      <c r="G350" s="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8"/>
      <c r="AD350" s="9"/>
      <c r="AE350" s="6"/>
      <c r="AF350" s="12"/>
      <c r="AG350" s="6"/>
      <c r="AH350" s="6"/>
      <c r="AI350" s="6"/>
    </row>
    <row r="351" spans="1:35" ht="12.75">
      <c r="A351" s="6"/>
      <c r="B351" s="6"/>
      <c r="C351" s="6"/>
      <c r="D351" s="7"/>
      <c r="E351" s="6"/>
      <c r="F351" s="8"/>
      <c r="G351" s="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8"/>
      <c r="AD351" s="9"/>
      <c r="AE351" s="6"/>
      <c r="AF351" s="13"/>
      <c r="AG351" s="6"/>
      <c r="AH351" s="6"/>
      <c r="AI351" s="6"/>
    </row>
    <row r="352" spans="1:35" ht="12.75">
      <c r="A352" s="6"/>
      <c r="B352" s="6"/>
      <c r="C352" s="6"/>
      <c r="D352" s="7"/>
      <c r="E352" s="6"/>
      <c r="F352" s="8"/>
      <c r="G352" s="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8"/>
      <c r="AD352" s="9"/>
      <c r="AE352" s="6"/>
      <c r="AF352" s="6"/>
      <c r="AG352" s="6"/>
      <c r="AH352" s="6"/>
      <c r="AI352" s="6"/>
    </row>
    <row r="353" spans="1:35" ht="12.75">
      <c r="A353" s="6"/>
      <c r="B353" s="6"/>
      <c r="C353" s="6"/>
      <c r="D353" s="7"/>
      <c r="E353" s="6"/>
      <c r="F353" s="8"/>
      <c r="G353" s="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8"/>
      <c r="AD353" s="9"/>
      <c r="AE353" s="6"/>
      <c r="AF353" s="13"/>
      <c r="AG353" s="6"/>
      <c r="AH353" s="6"/>
      <c r="AI353" s="6"/>
    </row>
    <row r="354" spans="1:35" ht="12.75">
      <c r="A354" s="6"/>
      <c r="B354" s="6"/>
      <c r="C354" s="6"/>
      <c r="D354" s="7"/>
      <c r="E354" s="6"/>
      <c r="F354" s="8"/>
      <c r="G354" s="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8"/>
      <c r="AD354" s="9"/>
      <c r="AE354" s="6"/>
      <c r="AF354" s="6"/>
      <c r="AG354" s="6"/>
      <c r="AH354" s="6"/>
      <c r="AI354" s="6"/>
    </row>
    <row r="355" spans="1:35" ht="12.75">
      <c r="A355" s="6"/>
      <c r="B355" s="6"/>
      <c r="C355" s="6"/>
      <c r="D355" s="7"/>
      <c r="E355" s="6"/>
      <c r="F355" s="8"/>
      <c r="G355" s="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8"/>
      <c r="AD355" s="9"/>
      <c r="AE355" s="6"/>
      <c r="AF355" s="13"/>
      <c r="AG355" s="6"/>
      <c r="AH355" s="6"/>
      <c r="AI355" s="6"/>
    </row>
    <row r="356" spans="1:35" ht="12.75">
      <c r="A356" s="6"/>
      <c r="B356" s="6"/>
      <c r="C356" s="6"/>
      <c r="D356" s="7"/>
      <c r="E356" s="6"/>
      <c r="F356" s="8"/>
      <c r="G356" s="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8"/>
      <c r="AD356" s="9"/>
      <c r="AE356" s="6"/>
      <c r="AF356" s="6"/>
      <c r="AG356" s="6"/>
      <c r="AH356" s="6"/>
      <c r="AI356" s="6"/>
    </row>
    <row r="357" spans="1:35" ht="12.75">
      <c r="A357" s="6"/>
      <c r="B357" s="6"/>
      <c r="C357" s="6"/>
      <c r="D357" s="7"/>
      <c r="E357" s="6"/>
      <c r="F357" s="8"/>
      <c r="G357" s="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8"/>
      <c r="AD357" s="9"/>
      <c r="AE357" s="6"/>
      <c r="AF357" s="13"/>
      <c r="AG357" s="6"/>
      <c r="AH357" s="6"/>
      <c r="AI357" s="6"/>
    </row>
    <row r="358" spans="1:35" ht="12.75">
      <c r="A358" s="6"/>
      <c r="B358" s="6"/>
      <c r="C358" s="6"/>
      <c r="D358" s="7"/>
      <c r="E358" s="6"/>
      <c r="F358" s="8"/>
      <c r="G358" s="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8"/>
      <c r="AD358" s="9"/>
      <c r="AE358" s="6"/>
      <c r="AF358" s="13"/>
      <c r="AG358" s="6"/>
      <c r="AH358" s="6"/>
      <c r="AI358" s="6"/>
    </row>
    <row r="359" spans="1:35" ht="12.75">
      <c r="A359" s="6"/>
      <c r="B359" s="6"/>
      <c r="C359" s="6"/>
      <c r="D359" s="7"/>
      <c r="E359" s="6"/>
      <c r="F359" s="8"/>
      <c r="G359" s="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8"/>
      <c r="AD359" s="9"/>
      <c r="AE359" s="6"/>
      <c r="AF359" s="12"/>
      <c r="AG359" s="6"/>
      <c r="AH359" s="6"/>
      <c r="AI359" s="6"/>
    </row>
    <row r="360" spans="1:35" ht="12.75">
      <c r="A360" s="6"/>
      <c r="B360" s="6"/>
      <c r="C360" s="6"/>
      <c r="D360" s="7"/>
      <c r="E360" s="6"/>
      <c r="F360" s="8"/>
      <c r="G360" s="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8"/>
      <c r="AD360" s="9"/>
      <c r="AE360" s="6"/>
      <c r="AF360" s="6"/>
      <c r="AG360" s="6"/>
      <c r="AH360" s="6"/>
      <c r="AI360" s="6"/>
    </row>
    <row r="361" spans="1:35" ht="12.75">
      <c r="A361" s="6"/>
      <c r="B361" s="6"/>
      <c r="C361" s="6"/>
      <c r="D361" s="7"/>
      <c r="E361" s="6"/>
      <c r="F361" s="8"/>
      <c r="G361" s="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8"/>
      <c r="AD361" s="9"/>
      <c r="AE361" s="6"/>
      <c r="AF361" s="13"/>
      <c r="AG361" s="6"/>
      <c r="AH361" s="6"/>
      <c r="AI361" s="6"/>
    </row>
    <row r="362" spans="1:35" ht="12.75">
      <c r="A362" s="6"/>
      <c r="B362" s="6"/>
      <c r="C362" s="6"/>
      <c r="D362" s="7"/>
      <c r="E362" s="6"/>
      <c r="F362" s="8"/>
      <c r="G362" s="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8"/>
      <c r="AD362" s="9"/>
      <c r="AE362" s="6"/>
      <c r="AF362" s="13"/>
      <c r="AG362" s="6"/>
      <c r="AH362" s="6"/>
      <c r="AI362" s="6"/>
    </row>
    <row r="363" spans="1:35" ht="12.75">
      <c r="A363" s="6"/>
      <c r="B363" s="6"/>
      <c r="C363" s="6"/>
      <c r="D363" s="7"/>
      <c r="E363" s="6"/>
      <c r="F363" s="8"/>
      <c r="G363" s="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8"/>
      <c r="AD363" s="9"/>
      <c r="AE363" s="6"/>
      <c r="AF363" s="12"/>
      <c r="AG363" s="6"/>
      <c r="AH363" s="6"/>
      <c r="AI363" s="6"/>
    </row>
    <row r="364" spans="1:35" ht="12.75">
      <c r="A364" s="6"/>
      <c r="B364" s="6"/>
      <c r="C364" s="6"/>
      <c r="D364" s="7"/>
      <c r="E364" s="6"/>
      <c r="F364" s="8"/>
      <c r="G364" s="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8"/>
      <c r="AD364" s="9"/>
      <c r="AE364" s="6"/>
      <c r="AF364" s="13"/>
      <c r="AG364" s="6"/>
      <c r="AH364" s="6"/>
      <c r="AI364" s="6"/>
    </row>
    <row r="365" spans="1:35" ht="12.75">
      <c r="A365" s="6"/>
      <c r="B365" s="6"/>
      <c r="C365" s="6"/>
      <c r="D365" s="7"/>
      <c r="E365" s="6"/>
      <c r="F365" s="8"/>
      <c r="G365" s="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8"/>
      <c r="AD365" s="9"/>
      <c r="AE365" s="6"/>
      <c r="AF365" s="13"/>
      <c r="AG365" s="6"/>
      <c r="AH365" s="6"/>
      <c r="AI365" s="6"/>
    </row>
    <row r="366" spans="1:35" ht="12.75">
      <c r="A366" s="6"/>
      <c r="B366" s="6"/>
      <c r="C366" s="6"/>
      <c r="D366" s="7"/>
      <c r="E366" s="6"/>
      <c r="F366" s="8"/>
      <c r="G366" s="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8"/>
      <c r="AD366" s="9"/>
      <c r="AE366" s="6"/>
      <c r="AF366" s="12"/>
      <c r="AG366" s="6"/>
      <c r="AH366" s="6"/>
      <c r="AI366" s="6"/>
    </row>
    <row r="367" spans="1:35" ht="12.75">
      <c r="A367" s="6"/>
      <c r="B367" s="6"/>
      <c r="C367" s="6"/>
      <c r="D367" s="7"/>
      <c r="E367" s="6"/>
      <c r="F367" s="8"/>
      <c r="G367" s="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8"/>
      <c r="AD367" s="9"/>
      <c r="AE367" s="6"/>
      <c r="AF367" s="13"/>
      <c r="AG367" s="6"/>
      <c r="AH367" s="6"/>
      <c r="AI367" s="6"/>
    </row>
    <row r="368" spans="1:35" ht="12.75">
      <c r="A368" s="6"/>
      <c r="B368" s="6"/>
      <c r="C368" s="6"/>
      <c r="D368" s="7"/>
      <c r="E368" s="6"/>
      <c r="F368" s="8"/>
      <c r="G368" s="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8"/>
      <c r="AD368" s="9"/>
      <c r="AE368" s="6"/>
      <c r="AF368" s="13"/>
      <c r="AG368" s="6"/>
      <c r="AH368" s="6"/>
      <c r="AI368" s="6"/>
    </row>
    <row r="369" spans="1:35" ht="12.75">
      <c r="A369" s="6"/>
      <c r="B369" s="6"/>
      <c r="C369" s="6"/>
      <c r="D369" s="7"/>
      <c r="E369" s="6"/>
      <c r="F369" s="8"/>
      <c r="G369" s="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8"/>
      <c r="AD369" s="9"/>
      <c r="AE369" s="6"/>
      <c r="AF369" s="13"/>
      <c r="AG369" s="6"/>
      <c r="AH369" s="6"/>
      <c r="AI369" s="6"/>
    </row>
    <row r="370" spans="1:35" ht="12.75">
      <c r="A370" s="6"/>
      <c r="B370" s="6"/>
      <c r="C370" s="6"/>
      <c r="D370" s="7"/>
      <c r="E370" s="6"/>
      <c r="F370" s="8"/>
      <c r="G370" s="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8"/>
      <c r="AD370" s="9"/>
      <c r="AE370" s="6"/>
      <c r="AF370" s="12"/>
      <c r="AG370" s="6"/>
      <c r="AH370" s="6"/>
      <c r="AI370" s="6"/>
    </row>
    <row r="371" spans="1:35" ht="12.75">
      <c r="A371" s="6"/>
      <c r="B371" s="6"/>
      <c r="C371" s="6"/>
      <c r="D371" s="7"/>
      <c r="E371" s="6"/>
      <c r="F371" s="8"/>
      <c r="G371" s="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8"/>
      <c r="AD371" s="9"/>
      <c r="AE371" s="6"/>
      <c r="AF371" s="6"/>
      <c r="AG371" s="6"/>
      <c r="AH371" s="6"/>
      <c r="AI371" s="6"/>
    </row>
    <row r="372" spans="1:35" ht="12.75">
      <c r="A372" s="6"/>
      <c r="B372" s="6"/>
      <c r="C372" s="6"/>
      <c r="D372" s="7"/>
      <c r="E372" s="6"/>
      <c r="F372" s="8"/>
      <c r="G372" s="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8"/>
      <c r="AD372" s="9"/>
      <c r="AE372" s="6"/>
      <c r="AF372" s="13"/>
      <c r="AG372" s="6"/>
      <c r="AH372" s="6"/>
      <c r="AI372" s="6"/>
    </row>
    <row r="373" spans="1:35" ht="12.75">
      <c r="A373" s="6"/>
      <c r="B373" s="6"/>
      <c r="C373" s="6"/>
      <c r="D373" s="7"/>
      <c r="E373" s="6"/>
      <c r="F373" s="8"/>
      <c r="G373" s="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8"/>
      <c r="AD373" s="9"/>
      <c r="AE373" s="6"/>
      <c r="AF373" s="12"/>
      <c r="AG373" s="6"/>
      <c r="AH373" s="6"/>
      <c r="AI373" s="6"/>
    </row>
    <row r="374" spans="1:35" ht="12.75">
      <c r="A374" s="6"/>
      <c r="B374" s="6"/>
      <c r="C374" s="6"/>
      <c r="D374" s="7"/>
      <c r="E374" s="6"/>
      <c r="F374" s="8"/>
      <c r="G374" s="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8"/>
      <c r="AD374" s="9"/>
      <c r="AE374" s="6"/>
      <c r="AF374" s="6"/>
      <c r="AG374" s="6"/>
      <c r="AH374" s="6"/>
      <c r="AI374" s="6"/>
    </row>
    <row r="375" spans="1:35" ht="12.75">
      <c r="A375" s="6"/>
      <c r="B375" s="6"/>
      <c r="C375" s="6"/>
      <c r="D375" s="7"/>
      <c r="E375" s="6"/>
      <c r="F375" s="8"/>
      <c r="G375" s="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8"/>
      <c r="AD375" s="9"/>
      <c r="AE375" s="6"/>
      <c r="AF375" s="13"/>
      <c r="AG375" s="6"/>
      <c r="AH375" s="6"/>
      <c r="AI375" s="6"/>
    </row>
    <row r="376" spans="1:35" ht="12.75">
      <c r="A376" s="6"/>
      <c r="B376" s="6"/>
      <c r="C376" s="6"/>
      <c r="D376" s="7"/>
      <c r="E376" s="6"/>
      <c r="F376" s="8"/>
      <c r="G376" s="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8"/>
      <c r="AD376" s="9"/>
      <c r="AE376" s="6"/>
      <c r="AF376" s="12"/>
      <c r="AG376" s="6"/>
      <c r="AH376" s="6"/>
      <c r="AI376" s="6"/>
    </row>
    <row r="377" spans="1:35" ht="12.75">
      <c r="A377" s="6"/>
      <c r="B377" s="6"/>
      <c r="C377" s="6"/>
      <c r="D377" s="7"/>
      <c r="E377" s="6"/>
      <c r="F377" s="8"/>
      <c r="G377" s="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8"/>
      <c r="AD377" s="9"/>
      <c r="AE377" s="6"/>
      <c r="AF377" s="6"/>
      <c r="AG377" s="6"/>
      <c r="AH377" s="6"/>
      <c r="AI377" s="6"/>
    </row>
    <row r="378" spans="1:35" ht="12.75">
      <c r="A378" s="6"/>
      <c r="B378" s="6"/>
      <c r="C378" s="6"/>
      <c r="D378" s="7"/>
      <c r="E378" s="6"/>
      <c r="F378" s="8"/>
      <c r="G378" s="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8"/>
      <c r="AD378" s="9"/>
      <c r="AE378" s="6"/>
      <c r="AF378" s="13"/>
      <c r="AG378" s="6"/>
      <c r="AH378" s="6"/>
      <c r="AI378" s="6"/>
    </row>
    <row r="379" spans="1:35" ht="12.75">
      <c r="A379" s="6"/>
      <c r="B379" s="6"/>
      <c r="C379" s="6"/>
      <c r="D379" s="7"/>
      <c r="E379" s="6"/>
      <c r="F379" s="8"/>
      <c r="G379" s="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8"/>
      <c r="AD379" s="9"/>
      <c r="AE379" s="6"/>
      <c r="AF379" s="12"/>
      <c r="AG379" s="6"/>
      <c r="AH379" s="6"/>
      <c r="AI379" s="6"/>
    </row>
    <row r="380" spans="1:35" ht="12.75">
      <c r="A380" s="6"/>
      <c r="B380" s="6"/>
      <c r="C380" s="6"/>
      <c r="D380" s="7"/>
      <c r="E380" s="6"/>
      <c r="F380" s="8"/>
      <c r="G380" s="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8"/>
      <c r="AD380" s="9"/>
      <c r="AE380" s="6"/>
      <c r="AF380" s="13"/>
      <c r="AG380" s="6"/>
      <c r="AH380" s="6"/>
      <c r="AI380" s="6"/>
    </row>
    <row r="381" spans="1:35" ht="12.75">
      <c r="A381" s="6"/>
      <c r="B381" s="6"/>
      <c r="C381" s="6"/>
      <c r="D381" s="7"/>
      <c r="E381" s="6"/>
      <c r="F381" s="8"/>
      <c r="G381" s="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8"/>
      <c r="AD381" s="9"/>
      <c r="AE381" s="6"/>
      <c r="AF381" s="12"/>
      <c r="AG381" s="6"/>
      <c r="AH381" s="6"/>
      <c r="AI381" s="6"/>
    </row>
    <row r="382" spans="1:35" ht="12.75">
      <c r="A382" s="6"/>
      <c r="B382" s="6"/>
      <c r="C382" s="6"/>
      <c r="D382" s="7"/>
      <c r="E382" s="6"/>
      <c r="F382" s="8"/>
      <c r="G382" s="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8"/>
      <c r="AD382" s="9"/>
      <c r="AE382" s="6"/>
      <c r="AF382" s="6"/>
      <c r="AG382" s="6"/>
      <c r="AH382" s="6"/>
      <c r="AI382" s="6"/>
    </row>
    <row r="383" spans="1:35" ht="12.75">
      <c r="A383" s="6"/>
      <c r="B383" s="6"/>
      <c r="C383" s="6"/>
      <c r="D383" s="7"/>
      <c r="E383" s="6"/>
      <c r="F383" s="8"/>
      <c r="G383" s="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8"/>
      <c r="AD383" s="9"/>
      <c r="AE383" s="6"/>
      <c r="AF383" s="12"/>
      <c r="AG383" s="6"/>
      <c r="AH383" s="6"/>
      <c r="AI383" s="6"/>
    </row>
    <row r="384" spans="1:35" ht="12.75">
      <c r="A384" s="6"/>
      <c r="B384" s="6"/>
      <c r="C384" s="6"/>
      <c r="D384" s="7"/>
      <c r="E384" s="6"/>
      <c r="F384" s="8"/>
      <c r="G384" s="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8"/>
      <c r="AD384" s="9"/>
      <c r="AE384" s="6"/>
      <c r="AF384" s="13"/>
      <c r="AG384" s="6"/>
      <c r="AH384" s="6"/>
      <c r="AI384" s="6"/>
    </row>
    <row r="385" spans="1:35" ht="12.75">
      <c r="A385" s="6"/>
      <c r="B385" s="6"/>
      <c r="C385" s="6"/>
      <c r="D385" s="7"/>
      <c r="E385" s="6"/>
      <c r="F385" s="8"/>
      <c r="G385" s="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8"/>
      <c r="AD385" s="9"/>
      <c r="AE385" s="6"/>
      <c r="AF385" s="6"/>
      <c r="AG385" s="6"/>
      <c r="AH385" s="6"/>
      <c r="AI385" s="6"/>
    </row>
    <row r="386" spans="1:35" ht="12.75">
      <c r="A386" s="6"/>
      <c r="B386" s="6"/>
      <c r="C386" s="6"/>
      <c r="D386" s="7"/>
      <c r="E386" s="6"/>
      <c r="F386" s="8"/>
      <c r="G386" s="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8"/>
      <c r="AD386" s="9"/>
      <c r="AE386" s="6"/>
      <c r="AF386" s="13"/>
      <c r="AG386" s="6"/>
      <c r="AH386" s="6"/>
      <c r="AI386" s="6"/>
    </row>
    <row r="387" spans="1:35" ht="12.75">
      <c r="A387" s="6"/>
      <c r="B387" s="6"/>
      <c r="C387" s="6"/>
      <c r="D387" s="7"/>
      <c r="E387" s="6"/>
      <c r="F387" s="8"/>
      <c r="G387" s="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8"/>
      <c r="AD387" s="9"/>
      <c r="AE387" s="6"/>
      <c r="AF387" s="12"/>
      <c r="AG387" s="6"/>
      <c r="AH387" s="6"/>
      <c r="AI387" s="6"/>
    </row>
    <row r="388" spans="1:35" ht="12.75">
      <c r="A388" s="6"/>
      <c r="B388" s="6"/>
      <c r="C388" s="6"/>
      <c r="D388" s="7"/>
      <c r="E388" s="6"/>
      <c r="F388" s="8"/>
      <c r="G388" s="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8"/>
      <c r="AD388" s="9"/>
      <c r="AE388" s="6"/>
      <c r="AF388" s="12"/>
      <c r="AG388" s="6"/>
      <c r="AH388" s="6"/>
      <c r="AI388" s="6"/>
    </row>
    <row r="389" spans="1:35" ht="12.75">
      <c r="A389" s="6"/>
      <c r="B389" s="6"/>
      <c r="C389" s="6"/>
      <c r="D389" s="7"/>
      <c r="E389" s="6"/>
      <c r="F389" s="8"/>
      <c r="G389" s="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8"/>
      <c r="AD389" s="9"/>
      <c r="AE389" s="6"/>
      <c r="AF389" s="6"/>
      <c r="AG389" s="6"/>
      <c r="AH389" s="6"/>
      <c r="AI389" s="6"/>
    </row>
    <row r="390" spans="1:35" ht="12.75">
      <c r="A390" s="6"/>
      <c r="B390" s="6"/>
      <c r="C390" s="6"/>
      <c r="D390" s="7"/>
      <c r="E390" s="6"/>
      <c r="F390" s="8"/>
      <c r="G390" s="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8"/>
      <c r="AD390" s="9"/>
      <c r="AE390" s="6"/>
      <c r="AF390" s="12"/>
      <c r="AG390" s="6"/>
      <c r="AH390" s="6"/>
      <c r="AI390" s="6"/>
    </row>
    <row r="391" spans="1:35" ht="12.75">
      <c r="A391" s="6"/>
      <c r="B391" s="6"/>
      <c r="C391" s="6"/>
      <c r="D391" s="7"/>
      <c r="E391" s="6"/>
      <c r="F391" s="8"/>
      <c r="G391" s="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8"/>
      <c r="AD391" s="9"/>
      <c r="AE391" s="6"/>
      <c r="AF391" s="13"/>
      <c r="AG391" s="6"/>
      <c r="AH391" s="6"/>
      <c r="AI391" s="6"/>
    </row>
    <row r="392" spans="1:35" ht="12.75">
      <c r="A392" s="6"/>
      <c r="B392" s="6"/>
      <c r="C392" s="6"/>
      <c r="D392" s="7"/>
      <c r="E392" s="6"/>
      <c r="F392" s="8"/>
      <c r="G392" s="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8"/>
      <c r="AD392" s="9"/>
      <c r="AE392" s="6"/>
      <c r="AF392" s="13"/>
      <c r="AG392" s="6"/>
      <c r="AH392" s="6"/>
      <c r="AI392" s="6"/>
    </row>
    <row r="393" spans="1:35" ht="12.75">
      <c r="A393" s="6"/>
      <c r="B393" s="6"/>
      <c r="C393" s="6"/>
      <c r="D393" s="7"/>
      <c r="E393" s="6"/>
      <c r="F393" s="8"/>
      <c r="G393" s="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8"/>
      <c r="AD393" s="9"/>
      <c r="AE393" s="6"/>
      <c r="AF393" s="13"/>
      <c r="AG393" s="6"/>
      <c r="AH393" s="6"/>
      <c r="AI393" s="6"/>
    </row>
    <row r="394" spans="1:35" ht="12.75">
      <c r="A394" s="6"/>
      <c r="B394" s="6"/>
      <c r="C394" s="6"/>
      <c r="D394" s="7"/>
      <c r="E394" s="6"/>
      <c r="F394" s="8"/>
      <c r="G394" s="9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8"/>
      <c r="AD394" s="9"/>
      <c r="AE394" s="6"/>
      <c r="AF394" s="13"/>
      <c r="AG394" s="6"/>
      <c r="AH394" s="6"/>
      <c r="AI394" s="6"/>
    </row>
    <row r="395" spans="1:35" ht="12.75">
      <c r="A395" s="6"/>
      <c r="B395" s="6"/>
      <c r="C395" s="6"/>
      <c r="D395" s="7"/>
      <c r="E395" s="6"/>
      <c r="F395" s="8"/>
      <c r="G395" s="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8"/>
      <c r="AD395" s="9"/>
      <c r="AE395" s="6"/>
      <c r="AF395" s="13"/>
      <c r="AG395" s="6"/>
      <c r="AH395" s="6"/>
      <c r="AI395" s="6"/>
    </row>
    <row r="396" spans="1:35" ht="12.75">
      <c r="A396" s="6"/>
      <c r="B396" s="6"/>
      <c r="C396" s="6"/>
      <c r="D396" s="7"/>
      <c r="E396" s="6"/>
      <c r="F396" s="8"/>
      <c r="G396" s="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8"/>
      <c r="AD396" s="9"/>
      <c r="AE396" s="6"/>
      <c r="AF396" s="13"/>
      <c r="AG396" s="6"/>
      <c r="AH396" s="6"/>
      <c r="AI396" s="6"/>
    </row>
    <row r="397" spans="1:35" ht="12.75">
      <c r="A397" s="6"/>
      <c r="B397" s="6"/>
      <c r="C397" s="6"/>
      <c r="D397" s="7"/>
      <c r="E397" s="6"/>
      <c r="F397" s="8"/>
      <c r="G397" s="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8"/>
      <c r="AD397" s="9"/>
      <c r="AE397" s="6"/>
      <c r="AF397" s="13"/>
      <c r="AG397" s="6"/>
      <c r="AH397" s="6"/>
      <c r="AI397" s="6"/>
    </row>
    <row r="398" spans="1:35" ht="12.75">
      <c r="A398" s="6"/>
      <c r="B398" s="6"/>
      <c r="C398" s="6"/>
      <c r="D398" s="7"/>
      <c r="E398" s="6"/>
      <c r="F398" s="8"/>
      <c r="G398" s="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8"/>
      <c r="AD398" s="9"/>
      <c r="AE398" s="6"/>
      <c r="AF398" s="13"/>
      <c r="AG398" s="6"/>
      <c r="AH398" s="6"/>
      <c r="AI398" s="6"/>
    </row>
    <row r="399" spans="1:35" ht="12.75">
      <c r="A399" s="6"/>
      <c r="B399" s="6"/>
      <c r="C399" s="6"/>
      <c r="D399" s="7"/>
      <c r="E399" s="6"/>
      <c r="F399" s="8"/>
      <c r="G399" s="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8"/>
      <c r="AD399" s="9"/>
      <c r="AE399" s="6"/>
      <c r="AF399" s="12"/>
      <c r="AG399" s="6"/>
      <c r="AH399" s="6"/>
      <c r="AI399" s="6"/>
    </row>
    <row r="400" spans="1:35" ht="12.75">
      <c r="A400" s="6"/>
      <c r="B400" s="6"/>
      <c r="C400" s="6"/>
      <c r="D400" s="7"/>
      <c r="E400" s="6"/>
      <c r="F400" s="8"/>
      <c r="G400" s="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8"/>
      <c r="AD400" s="9"/>
      <c r="AE400" s="6"/>
      <c r="AF400" s="13"/>
      <c r="AG400" s="6"/>
      <c r="AH400" s="6"/>
      <c r="AI400" s="6"/>
    </row>
    <row r="401" spans="1:35" ht="12.75">
      <c r="A401" s="6"/>
      <c r="B401" s="6"/>
      <c r="C401" s="6"/>
      <c r="D401" s="7"/>
      <c r="E401" s="6"/>
      <c r="F401" s="8"/>
      <c r="G401" s="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8"/>
      <c r="AD401" s="9"/>
      <c r="AE401" s="6"/>
      <c r="AF401" s="13"/>
      <c r="AG401" s="6"/>
      <c r="AH401" s="6"/>
      <c r="AI401" s="6"/>
    </row>
    <row r="402" spans="1:35" ht="12.75">
      <c r="A402" s="6"/>
      <c r="B402" s="6"/>
      <c r="C402" s="6"/>
      <c r="D402" s="7"/>
      <c r="E402" s="6"/>
      <c r="F402" s="8"/>
      <c r="G402" s="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8"/>
      <c r="AD402" s="9"/>
      <c r="AE402" s="6"/>
      <c r="AF402" s="12"/>
      <c r="AG402" s="6"/>
      <c r="AH402" s="6"/>
      <c r="AI402" s="6"/>
    </row>
    <row r="403" spans="1:35" ht="12.75">
      <c r="A403" s="6"/>
      <c r="B403" s="6"/>
      <c r="C403" s="6"/>
      <c r="D403" s="7"/>
      <c r="E403" s="6"/>
      <c r="F403" s="8"/>
      <c r="G403" s="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8"/>
      <c r="AD403" s="9"/>
      <c r="AE403" s="6"/>
      <c r="AF403" s="13"/>
      <c r="AG403" s="6"/>
      <c r="AH403" s="6"/>
      <c r="AI403" s="6"/>
    </row>
    <row r="404" spans="1:35" ht="12.75">
      <c r="A404" s="6"/>
      <c r="B404" s="6"/>
      <c r="C404" s="6"/>
      <c r="D404" s="7"/>
      <c r="E404" s="6"/>
      <c r="F404" s="8"/>
      <c r="G404" s="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8"/>
      <c r="AD404" s="9"/>
      <c r="AE404" s="6"/>
      <c r="AF404" s="12"/>
      <c r="AG404" s="6"/>
      <c r="AH404" s="6"/>
      <c r="AI404" s="6"/>
    </row>
    <row r="405" spans="1:35" ht="12.75">
      <c r="A405" s="6"/>
      <c r="B405" s="6"/>
      <c r="C405" s="6"/>
      <c r="D405" s="7"/>
      <c r="E405" s="6"/>
      <c r="F405" s="8"/>
      <c r="G405" s="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8"/>
      <c r="AD405" s="9"/>
      <c r="AE405" s="6"/>
      <c r="AF405" s="12"/>
      <c r="AG405" s="6"/>
      <c r="AH405" s="6"/>
      <c r="AI405" s="6"/>
    </row>
    <row r="406" spans="1:35" ht="12.75">
      <c r="A406" s="6"/>
      <c r="B406" s="6"/>
      <c r="C406" s="6"/>
      <c r="D406" s="7"/>
      <c r="E406" s="6"/>
      <c r="F406" s="8"/>
      <c r="G406" s="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8"/>
      <c r="AD406" s="9"/>
      <c r="AE406" s="6"/>
      <c r="AF406" s="12"/>
      <c r="AG406" s="6"/>
      <c r="AH406" s="6"/>
      <c r="AI406" s="6"/>
    </row>
    <row r="407" spans="1:35" ht="12.75">
      <c r="A407" s="6"/>
      <c r="B407" s="6"/>
      <c r="C407" s="6"/>
      <c r="D407" s="7"/>
      <c r="E407" s="6"/>
      <c r="F407" s="8"/>
      <c r="G407" s="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8"/>
      <c r="AD407" s="9"/>
      <c r="AE407" s="6"/>
      <c r="AF407" s="12"/>
      <c r="AG407" s="6"/>
      <c r="AH407" s="6"/>
      <c r="AI407" s="6"/>
    </row>
    <row r="408" spans="1:35" ht="12.75">
      <c r="A408" s="6"/>
      <c r="B408" s="6"/>
      <c r="C408" s="6"/>
      <c r="D408" s="7"/>
      <c r="E408" s="6"/>
      <c r="F408" s="8"/>
      <c r="G408" s="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8"/>
      <c r="AD408" s="9"/>
      <c r="AE408" s="6"/>
      <c r="AF408" s="12"/>
      <c r="AG408" s="6"/>
      <c r="AH408" s="6"/>
      <c r="AI408" s="6"/>
    </row>
    <row r="409" spans="1:35" ht="12.75">
      <c r="A409" s="6"/>
      <c r="B409" s="6"/>
      <c r="C409" s="6"/>
      <c r="D409" s="7"/>
      <c r="E409" s="6"/>
      <c r="F409" s="8"/>
      <c r="G409" s="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8"/>
      <c r="AD409" s="9"/>
      <c r="AE409" s="6"/>
      <c r="AF409" s="13"/>
      <c r="AG409" s="6"/>
      <c r="AH409" s="6"/>
      <c r="AI409" s="6"/>
    </row>
    <row r="410" spans="1:35" ht="12.75">
      <c r="A410" s="6"/>
      <c r="B410" s="6"/>
      <c r="C410" s="6"/>
      <c r="D410" s="7"/>
      <c r="E410" s="6"/>
      <c r="F410" s="8"/>
      <c r="G410" s="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8"/>
      <c r="AD410" s="9"/>
      <c r="AE410" s="6"/>
      <c r="AF410" s="12"/>
      <c r="AG410" s="6"/>
      <c r="AH410" s="6"/>
      <c r="AI410" s="6"/>
    </row>
    <row r="411" spans="1:35" ht="12.75">
      <c r="A411" s="6"/>
      <c r="B411" s="6"/>
      <c r="C411" s="6"/>
      <c r="D411" s="7"/>
      <c r="E411" s="6"/>
      <c r="F411" s="8"/>
      <c r="G411" s="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8"/>
      <c r="AD411" s="9"/>
      <c r="AE411" s="6"/>
      <c r="AF411" s="12"/>
      <c r="AG411" s="6"/>
      <c r="AH411" s="6"/>
      <c r="AI411" s="6"/>
    </row>
    <row r="412" spans="1:35" ht="12.75">
      <c r="A412" s="6"/>
      <c r="B412" s="6"/>
      <c r="C412" s="6"/>
      <c r="D412" s="7"/>
      <c r="E412" s="6"/>
      <c r="F412" s="8"/>
      <c r="G412" s="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8"/>
      <c r="AD412" s="9"/>
      <c r="AE412" s="6"/>
      <c r="AF412" s="12"/>
      <c r="AG412" s="6"/>
      <c r="AH412" s="6"/>
      <c r="AI412" s="6"/>
    </row>
    <row r="413" spans="1:35" ht="12.75">
      <c r="A413" s="6"/>
      <c r="B413" s="6"/>
      <c r="C413" s="6"/>
      <c r="D413" s="7"/>
      <c r="E413" s="6"/>
      <c r="F413" s="8"/>
      <c r="G413" s="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8"/>
      <c r="AD413" s="9"/>
      <c r="AE413" s="6"/>
      <c r="AF413" s="13"/>
      <c r="AG413" s="6"/>
      <c r="AH413" s="6"/>
      <c r="AI413" s="6"/>
    </row>
    <row r="414" spans="1:35" ht="12.75">
      <c r="A414" s="6"/>
      <c r="B414" s="6"/>
      <c r="C414" s="6"/>
      <c r="D414" s="7"/>
      <c r="E414" s="6"/>
      <c r="F414" s="8"/>
      <c r="G414" s="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8"/>
      <c r="AD414" s="9"/>
      <c r="AE414" s="6"/>
      <c r="AF414" s="12"/>
      <c r="AG414" s="6"/>
      <c r="AH414" s="6"/>
      <c r="AI414" s="6"/>
    </row>
    <row r="415" spans="1:35" ht="12.75">
      <c r="A415" s="6"/>
      <c r="B415" s="6"/>
      <c r="C415" s="6"/>
      <c r="D415" s="7"/>
      <c r="E415" s="6"/>
      <c r="F415" s="8"/>
      <c r="G415" s="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8"/>
      <c r="AD415" s="9"/>
      <c r="AE415" s="6"/>
      <c r="AF415" s="12"/>
      <c r="AG415" s="6"/>
      <c r="AH415" s="6"/>
      <c r="AI415" s="6"/>
    </row>
    <row r="416" spans="1:35" ht="12.75">
      <c r="A416" s="6"/>
      <c r="B416" s="6"/>
      <c r="C416" s="6"/>
      <c r="D416" s="7"/>
      <c r="E416" s="6"/>
      <c r="F416" s="8"/>
      <c r="G416" s="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8"/>
      <c r="AD416" s="9"/>
      <c r="AE416" s="6"/>
      <c r="AF416" s="13"/>
      <c r="AG416" s="6"/>
      <c r="AH416" s="6"/>
      <c r="AI416" s="6"/>
    </row>
    <row r="417" spans="1:35" ht="12.75">
      <c r="A417" s="6"/>
      <c r="B417" s="6"/>
      <c r="C417" s="6"/>
      <c r="D417" s="7"/>
      <c r="E417" s="6"/>
      <c r="F417" s="8"/>
      <c r="G417" s="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8"/>
      <c r="AD417" s="9"/>
      <c r="AE417" s="6"/>
      <c r="AF417" s="6"/>
      <c r="AG417" s="6"/>
      <c r="AH417" s="6"/>
      <c r="AI417" s="6"/>
    </row>
    <row r="418" spans="1:35" ht="12.75">
      <c r="A418" s="6"/>
      <c r="B418" s="6"/>
      <c r="C418" s="6"/>
      <c r="D418" s="7"/>
      <c r="E418" s="6"/>
      <c r="F418" s="8"/>
      <c r="G418" s="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8"/>
      <c r="AD418" s="9"/>
      <c r="AE418" s="6"/>
      <c r="AF418" s="13"/>
      <c r="AG418" s="6"/>
      <c r="AH418" s="6"/>
      <c r="AI418" s="6"/>
    </row>
    <row r="419" spans="1:35" ht="12.75">
      <c r="A419" s="6"/>
      <c r="B419" s="6"/>
      <c r="C419" s="6"/>
      <c r="D419" s="7"/>
      <c r="E419" s="6"/>
      <c r="F419" s="8"/>
      <c r="G419" s="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8"/>
      <c r="AD419" s="9"/>
      <c r="AE419" s="6"/>
      <c r="AF419" s="13"/>
      <c r="AG419" s="6"/>
      <c r="AH419" s="6"/>
      <c r="AI419" s="6"/>
    </row>
    <row r="420" spans="1:35" ht="12.75">
      <c r="A420" s="6"/>
      <c r="B420" s="6"/>
      <c r="C420" s="6"/>
      <c r="D420" s="7"/>
      <c r="E420" s="6"/>
      <c r="F420" s="8"/>
      <c r="G420" s="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8"/>
      <c r="AD420" s="9"/>
      <c r="AE420" s="6"/>
      <c r="AF420" s="6"/>
      <c r="AG420" s="6"/>
      <c r="AH420" s="6"/>
      <c r="AI420" s="6"/>
    </row>
    <row r="421" spans="1:35" ht="12.75">
      <c r="A421" s="6"/>
      <c r="B421" s="6"/>
      <c r="C421" s="6"/>
      <c r="D421" s="7"/>
      <c r="E421" s="6"/>
      <c r="F421" s="8"/>
      <c r="G421" s="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8"/>
      <c r="AD421" s="9"/>
      <c r="AE421" s="6"/>
      <c r="AF421" s="6"/>
      <c r="AG421" s="6"/>
      <c r="AH421" s="6"/>
      <c r="AI421" s="6"/>
    </row>
    <row r="422" spans="1:35" ht="12.75">
      <c r="A422" s="6"/>
      <c r="B422" s="6"/>
      <c r="C422" s="6"/>
      <c r="D422" s="7"/>
      <c r="E422" s="6"/>
      <c r="F422" s="8"/>
      <c r="G422" s="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8"/>
      <c r="AD422" s="9"/>
      <c r="AE422" s="6"/>
      <c r="AF422" s="6"/>
      <c r="AG422" s="6"/>
      <c r="AH422" s="6"/>
      <c r="AI422" s="6"/>
    </row>
    <row r="423" spans="1:35" ht="12.75">
      <c r="A423" s="6"/>
      <c r="B423" s="6"/>
      <c r="C423" s="6"/>
      <c r="D423" s="7"/>
      <c r="E423" s="6"/>
      <c r="F423" s="8"/>
      <c r="G423" s="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8"/>
      <c r="AD423" s="9"/>
      <c r="AE423" s="6"/>
      <c r="AF423" s="6"/>
      <c r="AG423" s="6"/>
      <c r="AH423" s="6"/>
      <c r="AI423" s="6"/>
    </row>
    <row r="424" spans="1:35" ht="12.75">
      <c r="A424" s="6"/>
      <c r="B424" s="6"/>
      <c r="C424" s="6"/>
      <c r="D424" s="7"/>
      <c r="E424" s="6"/>
      <c r="F424" s="8"/>
      <c r="G424" s="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8"/>
      <c r="AD424" s="9"/>
      <c r="AE424" s="6"/>
      <c r="AF424" s="6"/>
      <c r="AG424" s="6"/>
      <c r="AH424" s="6"/>
      <c r="AI424" s="6"/>
    </row>
    <row r="425" spans="1:35" ht="12.75">
      <c r="A425" s="6"/>
      <c r="B425" s="6"/>
      <c r="C425" s="6"/>
      <c r="D425" s="7"/>
      <c r="E425" s="6"/>
      <c r="F425" s="8"/>
      <c r="G425" s="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8"/>
      <c r="AD425" s="9"/>
      <c r="AE425" s="6"/>
      <c r="AF425" s="6"/>
      <c r="AG425" s="6"/>
      <c r="AH425" s="6"/>
      <c r="AI425" s="6"/>
    </row>
    <row r="426" spans="1:35" ht="12.75">
      <c r="A426" s="6"/>
      <c r="B426" s="6"/>
      <c r="C426" s="6"/>
      <c r="D426" s="7"/>
      <c r="E426" s="6"/>
      <c r="F426" s="8"/>
      <c r="G426" s="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8"/>
      <c r="AD426" s="9"/>
      <c r="AE426" s="6"/>
      <c r="AF426" s="6"/>
      <c r="AG426" s="6"/>
      <c r="AH426" s="6"/>
      <c r="AI426" s="6"/>
    </row>
    <row r="427" spans="1:35" ht="12.75">
      <c r="A427" s="6"/>
      <c r="B427" s="6"/>
      <c r="C427" s="6"/>
      <c r="D427" s="7"/>
      <c r="E427" s="6"/>
      <c r="F427" s="8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8"/>
      <c r="AD427" s="9"/>
      <c r="AE427" s="6"/>
      <c r="AF427" s="6"/>
      <c r="AG427" s="6"/>
      <c r="AH427" s="6"/>
      <c r="AI427" s="6"/>
    </row>
    <row r="428" spans="1:35" ht="12.75">
      <c r="A428" s="6"/>
      <c r="B428" s="6"/>
      <c r="C428" s="6"/>
      <c r="D428" s="7"/>
      <c r="E428" s="6"/>
      <c r="F428" s="8"/>
      <c r="G428" s="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8"/>
      <c r="AD428" s="9"/>
      <c r="AE428" s="6"/>
      <c r="AF428" s="12"/>
      <c r="AG428" s="6"/>
      <c r="AH428" s="6"/>
      <c r="AI428" s="6"/>
    </row>
    <row r="429" spans="1:35" ht="12.75">
      <c r="A429" s="6"/>
      <c r="B429" s="6"/>
      <c r="C429" s="6"/>
      <c r="D429" s="7"/>
      <c r="E429" s="6"/>
      <c r="F429" s="8"/>
      <c r="G429" s="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8"/>
      <c r="AD429" s="9"/>
      <c r="AE429" s="6"/>
      <c r="AF429" s="6"/>
      <c r="AG429" s="6"/>
      <c r="AH429" s="6"/>
      <c r="AI429" s="6"/>
    </row>
    <row r="430" spans="1:35" ht="12.75">
      <c r="A430" s="6"/>
      <c r="B430" s="6"/>
      <c r="C430" s="6"/>
      <c r="D430" s="7"/>
      <c r="E430" s="6"/>
      <c r="F430" s="8"/>
      <c r="G430" s="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8"/>
      <c r="AD430" s="9"/>
      <c r="AE430" s="6"/>
      <c r="AF430" s="12"/>
      <c r="AG430" s="6"/>
      <c r="AH430" s="6"/>
      <c r="AI430" s="6"/>
    </row>
    <row r="431" spans="1:35" ht="12.75">
      <c r="A431" s="6"/>
      <c r="B431" s="6"/>
      <c r="C431" s="6"/>
      <c r="D431" s="7"/>
      <c r="E431" s="6"/>
      <c r="F431" s="8"/>
      <c r="G431" s="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8"/>
      <c r="AD431" s="9"/>
      <c r="AE431" s="6"/>
      <c r="AF431" s="13"/>
      <c r="AG431" s="6"/>
      <c r="AH431" s="6"/>
      <c r="AI431" s="6"/>
    </row>
    <row r="432" spans="1:35" ht="12.75">
      <c r="A432" s="6"/>
      <c r="B432" s="6"/>
      <c r="C432" s="6"/>
      <c r="D432" s="7"/>
      <c r="E432" s="6"/>
      <c r="F432" s="8"/>
      <c r="G432" s="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8"/>
      <c r="AD432" s="9"/>
      <c r="AE432" s="6"/>
      <c r="AF432" s="12"/>
      <c r="AG432" s="6"/>
      <c r="AH432" s="6"/>
      <c r="AI432" s="6"/>
    </row>
    <row r="433" spans="1:35" ht="12.75">
      <c r="A433" s="6"/>
      <c r="B433" s="6"/>
      <c r="C433" s="6"/>
      <c r="D433" s="7"/>
      <c r="E433" s="6"/>
      <c r="F433" s="8"/>
      <c r="G433" s="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8"/>
      <c r="AD433" s="9"/>
      <c r="AE433" s="6"/>
      <c r="AF433" s="13"/>
      <c r="AG433" s="6"/>
      <c r="AH433" s="6"/>
      <c r="AI433" s="6"/>
    </row>
    <row r="434" spans="1:35" ht="12.75">
      <c r="A434" s="6"/>
      <c r="B434" s="6"/>
      <c r="C434" s="6"/>
      <c r="D434" s="7"/>
      <c r="E434" s="6"/>
      <c r="F434" s="8"/>
      <c r="G434" s="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8"/>
      <c r="AD434" s="9"/>
      <c r="AE434" s="6"/>
      <c r="AF434" s="13"/>
      <c r="AG434" s="6"/>
      <c r="AH434" s="6"/>
      <c r="AI434" s="6"/>
    </row>
    <row r="435" spans="1:35" ht="12.75">
      <c r="A435" s="6"/>
      <c r="B435" s="6"/>
      <c r="C435" s="6"/>
      <c r="D435" s="7"/>
      <c r="E435" s="6"/>
      <c r="F435" s="8"/>
      <c r="G435" s="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8"/>
      <c r="AD435" s="9"/>
      <c r="AE435" s="6"/>
      <c r="AF435" s="13"/>
      <c r="AG435" s="6"/>
      <c r="AH435" s="6"/>
      <c r="AI435" s="6"/>
    </row>
    <row r="436" spans="1:35" ht="12.75">
      <c r="A436" s="6"/>
      <c r="B436" s="6"/>
      <c r="C436" s="6"/>
      <c r="D436" s="7"/>
      <c r="E436" s="6"/>
      <c r="F436" s="8"/>
      <c r="G436" s="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8"/>
      <c r="AD436" s="9"/>
      <c r="AE436" s="6"/>
      <c r="AF436" s="12"/>
      <c r="AG436" s="6"/>
      <c r="AH436" s="6"/>
      <c r="AI436" s="6"/>
    </row>
    <row r="437" spans="1:35" ht="12.75">
      <c r="A437" s="6"/>
      <c r="B437" s="6"/>
      <c r="C437" s="6"/>
      <c r="D437" s="7"/>
      <c r="E437" s="6"/>
      <c r="F437" s="8"/>
      <c r="G437" s="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8"/>
      <c r="AD437" s="9"/>
      <c r="AE437" s="6"/>
      <c r="AF437" s="12"/>
      <c r="AG437" s="6"/>
      <c r="AH437" s="6"/>
      <c r="AI437" s="6"/>
    </row>
    <row r="438" spans="1:35" ht="12.75">
      <c r="A438" s="6"/>
      <c r="B438" s="6"/>
      <c r="C438" s="6"/>
      <c r="D438" s="7"/>
      <c r="E438" s="6"/>
      <c r="F438" s="8"/>
      <c r="G438" s="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8"/>
      <c r="AD438" s="9"/>
      <c r="AE438" s="6"/>
      <c r="AF438" s="12"/>
      <c r="AG438" s="6"/>
      <c r="AH438" s="6"/>
      <c r="AI438" s="6"/>
    </row>
    <row r="439" spans="1:35" ht="12.75">
      <c r="A439" s="6"/>
      <c r="B439" s="6"/>
      <c r="C439" s="6"/>
      <c r="D439" s="7"/>
      <c r="E439" s="6"/>
      <c r="F439" s="8"/>
      <c r="G439" s="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8"/>
      <c r="AD439" s="9"/>
      <c r="AE439" s="6"/>
      <c r="AF439" s="13"/>
      <c r="AG439" s="6"/>
      <c r="AH439" s="6"/>
      <c r="AI439" s="6"/>
    </row>
    <row r="440" spans="1:35" ht="12.75">
      <c r="A440" s="6"/>
      <c r="B440" s="6"/>
      <c r="C440" s="6"/>
      <c r="D440" s="7"/>
      <c r="E440" s="6"/>
      <c r="F440" s="8"/>
      <c r="G440" s="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8"/>
      <c r="AD440" s="9"/>
      <c r="AE440" s="6"/>
      <c r="AF440" s="6"/>
      <c r="AG440" s="6"/>
      <c r="AH440" s="6"/>
      <c r="AI440" s="6"/>
    </row>
    <row r="441" spans="1:35" ht="12.75">
      <c r="A441" s="6"/>
      <c r="B441" s="6"/>
      <c r="C441" s="6"/>
      <c r="D441" s="7"/>
      <c r="E441" s="6"/>
      <c r="F441" s="8"/>
      <c r="G441" s="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8"/>
      <c r="AD441" s="9"/>
      <c r="AE441" s="6"/>
      <c r="AF441" s="6"/>
      <c r="AG441" s="6"/>
      <c r="AH441" s="6"/>
      <c r="AI441" s="6"/>
    </row>
    <row r="442" spans="1:35" ht="12.75">
      <c r="A442" s="6"/>
      <c r="B442" s="6"/>
      <c r="C442" s="6"/>
      <c r="D442" s="7"/>
      <c r="E442" s="6"/>
      <c r="F442" s="8"/>
      <c r="G442" s="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8"/>
      <c r="AD442" s="9"/>
      <c r="AE442" s="6"/>
      <c r="AF442" s="12"/>
      <c r="AG442" s="6"/>
      <c r="AH442" s="6"/>
      <c r="AI442" s="6"/>
    </row>
    <row r="443" spans="1:35" ht="12.75">
      <c r="A443" s="6"/>
      <c r="B443" s="6"/>
      <c r="C443" s="6"/>
      <c r="D443" s="7"/>
      <c r="E443" s="6"/>
      <c r="F443" s="8"/>
      <c r="G443" s="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8"/>
      <c r="AD443" s="9"/>
      <c r="AE443" s="6"/>
      <c r="AF443" s="12"/>
      <c r="AG443" s="6"/>
      <c r="AH443" s="6"/>
      <c r="AI443" s="6"/>
    </row>
    <row r="444" spans="1:35" ht="12.75">
      <c r="A444" s="6"/>
      <c r="B444" s="6"/>
      <c r="C444" s="6"/>
      <c r="D444" s="7"/>
      <c r="E444" s="6"/>
      <c r="F444" s="8"/>
      <c r="G444" s="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8"/>
      <c r="AD444" s="9"/>
      <c r="AE444" s="6"/>
      <c r="AF444" s="12"/>
      <c r="AG444" s="6"/>
      <c r="AH444" s="6"/>
      <c r="AI444" s="6"/>
    </row>
    <row r="445" spans="1:35" ht="12.75">
      <c r="A445" s="6"/>
      <c r="B445" s="6"/>
      <c r="C445" s="6"/>
      <c r="D445" s="7"/>
      <c r="E445" s="6"/>
      <c r="F445" s="8"/>
      <c r="G445" s="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8"/>
      <c r="AD445" s="9"/>
      <c r="AE445" s="6"/>
      <c r="AF445" s="12"/>
      <c r="AG445" s="6"/>
      <c r="AH445" s="6"/>
      <c r="AI445" s="6"/>
    </row>
    <row r="446" spans="1:35" ht="12.75">
      <c r="A446" s="6"/>
      <c r="B446" s="6"/>
      <c r="C446" s="6"/>
      <c r="D446" s="7"/>
      <c r="E446" s="6"/>
      <c r="F446" s="8"/>
      <c r="G446" s="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8"/>
      <c r="AD446" s="9"/>
      <c r="AE446" s="6"/>
      <c r="AF446" s="12"/>
      <c r="AG446" s="6"/>
      <c r="AH446" s="6"/>
      <c r="AI446" s="6"/>
    </row>
    <row r="447" spans="1:35" ht="12.75">
      <c r="A447" s="6"/>
      <c r="B447" s="6"/>
      <c r="C447" s="6"/>
      <c r="D447" s="7"/>
      <c r="E447" s="6"/>
      <c r="F447" s="8"/>
      <c r="G447" s="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8"/>
      <c r="AD447" s="9"/>
      <c r="AE447" s="6"/>
      <c r="AF447" s="6"/>
      <c r="AG447" s="6"/>
      <c r="AH447" s="6"/>
      <c r="AI447" s="6"/>
    </row>
    <row r="448" spans="1:35" ht="12.75">
      <c r="A448" s="6"/>
      <c r="B448" s="6"/>
      <c r="C448" s="6"/>
      <c r="D448" s="7"/>
      <c r="E448" s="6"/>
      <c r="F448" s="8"/>
      <c r="G448" s="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8"/>
      <c r="AD448" s="9"/>
      <c r="AE448" s="6"/>
      <c r="AF448" s="6"/>
      <c r="AG448" s="6"/>
      <c r="AH448" s="6"/>
      <c r="AI448" s="6"/>
    </row>
    <row r="449" spans="1:35" ht="12.75">
      <c r="A449" s="6"/>
      <c r="B449" s="6"/>
      <c r="C449" s="6"/>
      <c r="D449" s="7"/>
      <c r="E449" s="6"/>
      <c r="F449" s="8"/>
      <c r="G449" s="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8"/>
      <c r="AD449" s="9"/>
      <c r="AE449" s="6"/>
      <c r="AF449" s="6"/>
      <c r="AG449" s="6"/>
      <c r="AH449" s="6"/>
      <c r="AI449" s="6"/>
    </row>
    <row r="450" spans="1:35" ht="12.75">
      <c r="A450" s="6"/>
      <c r="B450" s="6"/>
      <c r="C450" s="6"/>
      <c r="D450" s="7"/>
      <c r="E450" s="6"/>
      <c r="F450" s="8"/>
      <c r="G450" s="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8"/>
      <c r="AD450" s="9"/>
      <c r="AE450" s="6"/>
      <c r="AF450" s="6"/>
      <c r="AG450" s="6"/>
      <c r="AH450" s="6"/>
      <c r="AI450" s="6"/>
    </row>
    <row r="451" spans="1:35" ht="12.75">
      <c r="A451" s="6"/>
      <c r="B451" s="6"/>
      <c r="C451" s="6"/>
      <c r="D451" s="7"/>
      <c r="E451" s="6"/>
      <c r="F451" s="8"/>
      <c r="G451" s="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8"/>
      <c r="AD451" s="9"/>
      <c r="AE451" s="6"/>
      <c r="AF451" s="6"/>
      <c r="AG451" s="6"/>
      <c r="AH451" s="6"/>
      <c r="AI451" s="6"/>
    </row>
    <row r="452" spans="1:35" ht="12.75">
      <c r="A452" s="6"/>
      <c r="B452" s="6"/>
      <c r="C452" s="6"/>
      <c r="D452" s="7"/>
      <c r="E452" s="6"/>
      <c r="F452" s="8"/>
      <c r="G452" s="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8"/>
      <c r="AD452" s="9"/>
      <c r="AE452" s="6"/>
      <c r="AF452" s="6"/>
      <c r="AG452" s="6"/>
      <c r="AH452" s="6"/>
      <c r="AI452" s="6"/>
    </row>
    <row r="453" spans="1:35" s="23" customFormat="1" ht="12.75">
      <c r="A453" s="18"/>
      <c r="B453" s="18"/>
      <c r="C453" s="18"/>
      <c r="D453" s="24"/>
      <c r="E453" s="18"/>
      <c r="F453" s="20"/>
      <c r="G453" s="21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20"/>
      <c r="AD453" s="21"/>
      <c r="AE453" s="18"/>
      <c r="AF453" s="18"/>
      <c r="AG453" s="18"/>
      <c r="AH453" s="18"/>
      <c r="AI453" s="18"/>
    </row>
    <row r="454" spans="1:35" ht="12.75">
      <c r="A454" s="6"/>
      <c r="B454" s="6"/>
      <c r="C454" s="6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ht="12.75">
      <c r="A455" s="6"/>
      <c r="B455" s="6"/>
      <c r="C455" s="6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2.75">
      <c r="A456" s="6"/>
      <c r="B456" s="6"/>
      <c r="C456" s="6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ht="12.75">
      <c r="A457" s="6"/>
      <c r="B457" s="6"/>
      <c r="C457" s="6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2.75">
      <c r="A458" s="6"/>
      <c r="B458" s="6"/>
      <c r="C458" s="6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ht="12.75">
      <c r="A459" s="6"/>
      <c r="B459" s="6"/>
      <c r="C459" s="6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2.75">
      <c r="A460" s="6"/>
      <c r="B460" s="6"/>
      <c r="C460" s="6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ht="12.75">
      <c r="A461" s="6"/>
      <c r="B461" s="6"/>
      <c r="C461" s="6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2.75">
      <c r="A462" s="6"/>
      <c r="B462" s="6"/>
      <c r="C462" s="6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ht="12.75">
      <c r="A463" s="6"/>
      <c r="B463" s="6"/>
      <c r="C463" s="6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2.75">
      <c r="A464" s="6"/>
      <c r="B464" s="6"/>
      <c r="C464" s="6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ht="12.75">
      <c r="A465" s="6"/>
      <c r="B465" s="6"/>
      <c r="C465" s="6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2.75">
      <c r="A466" s="6"/>
      <c r="B466" s="6"/>
      <c r="C466" s="6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ht="12.75">
      <c r="A467" s="6"/>
      <c r="B467" s="6"/>
      <c r="C467" s="6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2.75">
      <c r="A468" s="6"/>
      <c r="B468" s="6"/>
      <c r="C468" s="6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ht="12.75">
      <c r="A469" s="6"/>
      <c r="B469" s="6"/>
      <c r="C469" s="6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2.75">
      <c r="A470" s="6"/>
      <c r="B470" s="6"/>
      <c r="C470" s="6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ht="12.75">
      <c r="A471" s="6"/>
      <c r="B471" s="6"/>
      <c r="C471" s="6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2.75">
      <c r="A472" s="6"/>
      <c r="B472" s="6"/>
      <c r="C472" s="6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ht="12.75">
      <c r="A473" s="6"/>
      <c r="B473" s="6"/>
      <c r="C473" s="6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2.75">
      <c r="A474" s="6"/>
      <c r="B474" s="6"/>
      <c r="C474" s="6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ht="12.75">
      <c r="A475" s="6"/>
      <c r="B475" s="6"/>
      <c r="C475" s="6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2.75">
      <c r="A476" s="6"/>
      <c r="B476" s="6"/>
      <c r="C476" s="6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ht="12.75">
      <c r="A477" s="6"/>
      <c r="B477" s="6"/>
      <c r="C477" s="6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2.75">
      <c r="A478" s="6"/>
      <c r="B478" s="6"/>
      <c r="C478" s="6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ht="12.75">
      <c r="A479" s="6"/>
      <c r="B479" s="6"/>
      <c r="C479" s="6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2.75">
      <c r="A480" s="6"/>
      <c r="B480" s="6"/>
      <c r="C480" s="6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ht="12.75">
      <c r="A481" s="6"/>
      <c r="B481" s="6"/>
      <c r="C481" s="6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2.75">
      <c r="A482" s="6"/>
      <c r="B482" s="6"/>
      <c r="C482" s="6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ht="12.75">
      <c r="A483" s="6"/>
      <c r="B483" s="6"/>
      <c r="C483" s="6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2.75">
      <c r="A484" s="6"/>
      <c r="B484" s="6"/>
      <c r="C484" s="6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ht="12.75">
      <c r="A485" s="6"/>
      <c r="B485" s="6"/>
      <c r="C485" s="6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2.75">
      <c r="A486" s="6"/>
      <c r="B486" s="6"/>
      <c r="C486" s="6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ht="12.75">
      <c r="A487" s="6"/>
      <c r="B487" s="6"/>
      <c r="C487" s="6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2.75">
      <c r="A488" s="6"/>
      <c r="B488" s="6"/>
      <c r="C488" s="6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ht="12.75">
      <c r="A489" s="6"/>
      <c r="B489" s="6"/>
      <c r="C489" s="6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2.75">
      <c r="A490" s="6"/>
      <c r="B490" s="6"/>
      <c r="C490" s="6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ht="12.75">
      <c r="A491" s="6"/>
      <c r="B491" s="6"/>
      <c r="C491" s="6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2.75">
      <c r="A492" s="6"/>
      <c r="B492" s="6"/>
      <c r="C492" s="6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ht="12.75">
      <c r="A493" s="6"/>
      <c r="B493" s="6"/>
      <c r="C493" s="6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2.75">
      <c r="A494" s="6"/>
      <c r="B494" s="6"/>
      <c r="C494" s="6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ht="12.75">
      <c r="A495" s="6"/>
      <c r="B495" s="6"/>
      <c r="C495" s="6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2.75">
      <c r="A496" s="6"/>
      <c r="B496" s="6"/>
      <c r="C496" s="6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ht="12.75">
      <c r="A497" s="6"/>
      <c r="B497" s="6"/>
      <c r="C497" s="6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2.75">
      <c r="A498" s="6"/>
      <c r="B498" s="6"/>
      <c r="C498" s="6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ht="12.75">
      <c r="A499" s="6"/>
      <c r="B499" s="6"/>
      <c r="C499" s="6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2.75">
      <c r="A500" s="6"/>
      <c r="B500" s="6"/>
      <c r="C500" s="6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ht="12.75">
      <c r="A501" s="6"/>
      <c r="B501" s="6"/>
      <c r="C501" s="6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2.75">
      <c r="A502" s="6"/>
      <c r="B502" s="6"/>
      <c r="C502" s="6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ht="12.75">
      <c r="A503" s="6"/>
      <c r="B503" s="6"/>
      <c r="C503" s="6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2.75">
      <c r="A504" s="6"/>
      <c r="B504" s="6"/>
      <c r="C504" s="6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ht="12.75">
      <c r="A505" s="6"/>
      <c r="B505" s="6"/>
      <c r="C505" s="6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2.75">
      <c r="A506" s="6"/>
      <c r="B506" s="6"/>
      <c r="C506" s="6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ht="12.75">
      <c r="A507" s="6"/>
      <c r="B507" s="6"/>
      <c r="C507" s="6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2.75">
      <c r="A508" s="6"/>
      <c r="B508" s="6"/>
      <c r="C508" s="6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ht="12.75">
      <c r="A509" s="6"/>
      <c r="B509" s="6"/>
      <c r="C509" s="6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2.75">
      <c r="A510" s="6"/>
      <c r="B510" s="6"/>
      <c r="C510" s="6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ht="12.75">
      <c r="A511" s="6"/>
      <c r="B511" s="6"/>
      <c r="C511" s="6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2.75">
      <c r="A512" s="6"/>
      <c r="B512" s="6"/>
      <c r="C512" s="6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ht="12.75">
      <c r="A513" s="6"/>
      <c r="B513" s="6"/>
      <c r="C513" s="6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2.75">
      <c r="A514" s="6"/>
      <c r="B514" s="6"/>
      <c r="C514" s="6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ht="12.75">
      <c r="A515" s="6"/>
      <c r="B515" s="6"/>
      <c r="C515" s="6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2.75">
      <c r="A516" s="6"/>
      <c r="B516" s="6"/>
      <c r="C516" s="6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ht="12.75">
      <c r="A517" s="6"/>
      <c r="B517" s="6"/>
      <c r="C517" s="6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2.75">
      <c r="A518" s="6"/>
      <c r="B518" s="6"/>
      <c r="C518" s="6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ht="12.75">
      <c r="A519" s="6"/>
      <c r="B519" s="6"/>
      <c r="C519" s="6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2.75">
      <c r="A520" s="6"/>
      <c r="B520" s="6"/>
      <c r="C520" s="6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ht="12.75">
      <c r="A521" s="6"/>
      <c r="B521" s="6"/>
      <c r="C521" s="6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2.75">
      <c r="A522" s="6"/>
      <c r="B522" s="6"/>
      <c r="C522" s="6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ht="12.75">
      <c r="A523" s="6"/>
      <c r="B523" s="6"/>
      <c r="C523" s="6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2.75">
      <c r="A524" s="6"/>
      <c r="B524" s="6"/>
      <c r="C524" s="6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ht="12.75">
      <c r="A525" s="6"/>
      <c r="B525" s="6"/>
      <c r="C525" s="6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2.75">
      <c r="A526" s="6"/>
      <c r="B526" s="6"/>
      <c r="C526" s="6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ht="12.75">
      <c r="A527" s="6"/>
      <c r="B527" s="6"/>
      <c r="C527" s="6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2.75">
      <c r="A528" s="6"/>
      <c r="B528" s="6"/>
      <c r="C528" s="6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ht="12.75">
      <c r="A529" s="6"/>
      <c r="B529" s="6"/>
      <c r="C529" s="6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2.75">
      <c r="A530" s="6"/>
      <c r="B530" s="6"/>
      <c r="C530" s="6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ht="12.75">
      <c r="A531" s="6"/>
      <c r="B531" s="6"/>
      <c r="C531" s="6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2.75">
      <c r="A532" s="6"/>
      <c r="B532" s="6"/>
      <c r="C532" s="6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ht="12.75">
      <c r="A533" s="6"/>
      <c r="B533" s="6"/>
      <c r="C533" s="6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2.75">
      <c r="A534" s="6"/>
      <c r="B534" s="6"/>
      <c r="C534" s="6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ht="12.75">
      <c r="A535" s="6"/>
      <c r="B535" s="6"/>
      <c r="C535" s="6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2.75">
      <c r="A536" s="6"/>
      <c r="B536" s="6"/>
      <c r="C536" s="6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ht="12.75">
      <c r="A537" s="6"/>
      <c r="B537" s="6"/>
      <c r="C537" s="6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2.75">
      <c r="A538" s="6"/>
      <c r="B538" s="6"/>
      <c r="C538" s="6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ht="12.75">
      <c r="A539" s="6"/>
      <c r="B539" s="6"/>
      <c r="C539" s="6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2.75">
      <c r="A540" s="6"/>
      <c r="B540" s="6"/>
      <c r="C540" s="6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ht="12.75">
      <c r="A541" s="6"/>
      <c r="B541" s="6"/>
      <c r="C541" s="6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2.75">
      <c r="A542" s="6"/>
      <c r="B542" s="6"/>
      <c r="C542" s="6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ht="12.75">
      <c r="A543" s="6"/>
      <c r="B543" s="6"/>
      <c r="C543" s="6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2.75">
      <c r="A544" s="6"/>
      <c r="B544" s="6"/>
      <c r="C544" s="6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ht="12.75">
      <c r="A545" s="6"/>
      <c r="B545" s="6"/>
      <c r="C545" s="6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2.75">
      <c r="A546" s="6"/>
      <c r="B546" s="6"/>
      <c r="C546" s="6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ht="12.75">
      <c r="A547" s="6"/>
      <c r="B547" s="6"/>
      <c r="C547" s="6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2.75">
      <c r="A548" s="6"/>
      <c r="B548" s="6"/>
      <c r="C548" s="6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ht="12.75">
      <c r="A549" s="6"/>
      <c r="B549" s="6"/>
      <c r="C549" s="6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2.75">
      <c r="A550" s="6"/>
      <c r="B550" s="6"/>
      <c r="C550" s="6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ht="12.75">
      <c r="A551" s="6"/>
      <c r="B551" s="6"/>
      <c r="C551" s="6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2.75">
      <c r="A552" s="6"/>
      <c r="B552" s="6"/>
      <c r="C552" s="6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ht="12.75">
      <c r="A553" s="6"/>
      <c r="B553" s="6"/>
      <c r="C553" s="6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2.75">
      <c r="A554" s="6"/>
      <c r="B554" s="6"/>
      <c r="C554" s="6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ht="12.75">
      <c r="A555" s="6"/>
      <c r="B555" s="6"/>
      <c r="C555" s="6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2.75">
      <c r="A556" s="6"/>
      <c r="B556" s="6"/>
      <c r="C556" s="6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ht="12.75">
      <c r="A557" s="6"/>
      <c r="B557" s="6"/>
      <c r="C557" s="6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2.75">
      <c r="A558" s="6"/>
      <c r="B558" s="6"/>
      <c r="C558" s="6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ht="12.75">
      <c r="A559" s="6"/>
      <c r="B559" s="6"/>
      <c r="C559" s="6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2.75">
      <c r="A560" s="6"/>
      <c r="B560" s="6"/>
      <c r="C560" s="6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ht="12.75">
      <c r="A561" s="6"/>
      <c r="B561" s="6"/>
      <c r="C561" s="6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2.75">
      <c r="A562" s="6"/>
      <c r="B562" s="6"/>
      <c r="C562" s="6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ht="12.75">
      <c r="A563" s="6"/>
      <c r="B563" s="6"/>
      <c r="C563" s="6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2.75">
      <c r="A564" s="6"/>
      <c r="B564" s="6"/>
      <c r="C564" s="6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ht="12.75">
      <c r="A565" s="6"/>
      <c r="B565" s="6"/>
      <c r="C565" s="6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2.75">
      <c r="A566" s="6"/>
      <c r="B566" s="6"/>
      <c r="C566" s="6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ht="12.75">
      <c r="A567" s="6"/>
      <c r="B567" s="6"/>
      <c r="C567" s="6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2.75">
      <c r="A568" s="6"/>
      <c r="B568" s="6"/>
      <c r="C568" s="6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ht="12.75">
      <c r="A569" s="6"/>
      <c r="B569" s="6"/>
      <c r="C569" s="6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2.75">
      <c r="A570" s="6"/>
      <c r="B570" s="6"/>
      <c r="C570" s="6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ht="12.75">
      <c r="A571" s="6"/>
      <c r="B571" s="6"/>
      <c r="C571" s="6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2.75">
      <c r="A572" s="6"/>
      <c r="B572" s="6"/>
      <c r="C572" s="6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ht="12.75">
      <c r="A573" s="6"/>
      <c r="B573" s="6"/>
      <c r="C573" s="6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2.75">
      <c r="A574" s="6"/>
      <c r="B574" s="6"/>
      <c r="C574" s="6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ht="12.75">
      <c r="A575" s="6"/>
      <c r="B575" s="6"/>
      <c r="C575" s="6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2.75">
      <c r="A576" s="6"/>
      <c r="B576" s="6"/>
      <c r="C576" s="6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ht="12.75">
      <c r="A577" s="6"/>
      <c r="B577" s="6"/>
      <c r="C577" s="6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2.75">
      <c r="A578" s="6"/>
      <c r="B578" s="6"/>
      <c r="C578" s="6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ht="12.75">
      <c r="A579" s="6"/>
      <c r="B579" s="6"/>
      <c r="C579" s="6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2.75">
      <c r="A580" s="6"/>
      <c r="B580" s="6"/>
      <c r="C580" s="6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ht="12.75">
      <c r="A581" s="6"/>
      <c r="B581" s="6"/>
      <c r="C581" s="6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2.75">
      <c r="A582" s="6"/>
      <c r="B582" s="6"/>
      <c r="C582" s="6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ht="12.75">
      <c r="A583" s="6"/>
      <c r="B583" s="6"/>
      <c r="C583" s="6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2.75">
      <c r="A584" s="6"/>
      <c r="B584" s="6"/>
      <c r="C584" s="6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ht="12.75">
      <c r="A585" s="6"/>
      <c r="B585" s="6"/>
      <c r="C585" s="6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2.75">
      <c r="A586" s="6"/>
      <c r="B586" s="6"/>
      <c r="C586" s="6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ht="12.75">
      <c r="A587" s="6"/>
      <c r="B587" s="6"/>
      <c r="C587" s="6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2.75">
      <c r="A588" s="6"/>
      <c r="B588" s="6"/>
      <c r="C588" s="6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ht="12.75">
      <c r="A589" s="6"/>
      <c r="B589" s="6"/>
      <c r="C589" s="6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2.75">
      <c r="A590" s="6"/>
      <c r="B590" s="6"/>
      <c r="C590" s="6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ht="12.75">
      <c r="A591" s="6"/>
      <c r="B591" s="6"/>
      <c r="C591" s="6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2.75">
      <c r="A592" s="6"/>
      <c r="B592" s="6"/>
      <c r="C592" s="6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12.75">
      <c r="A593" s="6"/>
      <c r="B593" s="6"/>
      <c r="C593" s="6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2.75">
      <c r="A594" s="6"/>
      <c r="B594" s="6"/>
      <c r="C594" s="6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ht="12.75">
      <c r="A595" s="6"/>
      <c r="B595" s="6"/>
      <c r="C595" s="6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2.75">
      <c r="A596" s="6"/>
      <c r="B596" s="6"/>
      <c r="C596" s="6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ht="12.75">
      <c r="A597" s="6"/>
      <c r="B597" s="6"/>
      <c r="C597" s="6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2.75">
      <c r="A598" s="6"/>
      <c r="B598" s="6"/>
      <c r="C598" s="6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ht="12.75">
      <c r="A599" s="6"/>
      <c r="B599" s="6"/>
      <c r="C599" s="6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2.75">
      <c r="A600" s="6"/>
      <c r="B600" s="6"/>
      <c r="C600" s="6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ht="12.75">
      <c r="A601" s="6"/>
      <c r="B601" s="6"/>
      <c r="C601" s="6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2.75">
      <c r="A602" s="6"/>
      <c r="B602" s="6"/>
      <c r="C602" s="6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ht="12.75">
      <c r="A603" s="6"/>
      <c r="B603" s="6"/>
      <c r="C603" s="6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2.75">
      <c r="A604" s="6"/>
      <c r="B604" s="6"/>
      <c r="C604" s="6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ht="12.75">
      <c r="A605" s="6"/>
      <c r="B605" s="6"/>
      <c r="C605" s="6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2.75">
      <c r="A606" s="6"/>
      <c r="B606" s="6"/>
      <c r="C606" s="6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ht="12.75">
      <c r="A607" s="6"/>
      <c r="B607" s="6"/>
      <c r="C607" s="6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2.75">
      <c r="A608" s="6"/>
      <c r="B608" s="6"/>
      <c r="C608" s="6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ht="12.75">
      <c r="A609" s="6"/>
      <c r="B609" s="6"/>
      <c r="C609" s="6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2.75">
      <c r="A610" s="6"/>
      <c r="B610" s="6"/>
      <c r="C610" s="6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ht="12.75">
      <c r="A611" s="6"/>
      <c r="B611" s="6"/>
      <c r="C611" s="6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2.75">
      <c r="A612" s="6"/>
      <c r="B612" s="6"/>
      <c r="C612" s="6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ht="12.75">
      <c r="A613" s="6"/>
      <c r="B613" s="6"/>
      <c r="C613" s="6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2.75">
      <c r="A614" s="6"/>
      <c r="B614" s="6"/>
      <c r="C614" s="6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ht="12.75">
      <c r="A615" s="6"/>
      <c r="B615" s="6"/>
      <c r="C615" s="6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2.75">
      <c r="A616" s="6"/>
      <c r="B616" s="6"/>
      <c r="C616" s="6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ht="12.75">
      <c r="A617" s="6"/>
      <c r="B617" s="6"/>
      <c r="C617" s="6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2.75">
      <c r="A618" s="6"/>
      <c r="B618" s="6"/>
      <c r="C618" s="6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ht="12.75">
      <c r="A619" s="6"/>
      <c r="B619" s="6"/>
      <c r="C619" s="6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2.75">
      <c r="A620" s="6"/>
      <c r="B620" s="6"/>
      <c r="C620" s="6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ht="12.75">
      <c r="A621" s="6"/>
      <c r="B621" s="6"/>
      <c r="C621" s="6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2.75">
      <c r="A622" s="6"/>
      <c r="B622" s="6"/>
      <c r="C622" s="6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ht="12.75">
      <c r="A623" s="6"/>
      <c r="B623" s="6"/>
      <c r="C623" s="6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2.75">
      <c r="A624" s="6"/>
      <c r="B624" s="6"/>
      <c r="C624" s="6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ht="12.75">
      <c r="A625" s="6"/>
      <c r="B625" s="6"/>
      <c r="C625" s="6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2.75">
      <c r="A626" s="6"/>
      <c r="B626" s="6"/>
      <c r="C626" s="6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ht="12.75">
      <c r="A627" s="6"/>
      <c r="B627" s="6"/>
      <c r="C627" s="6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2.75">
      <c r="A628" s="6"/>
      <c r="B628" s="6"/>
      <c r="C628" s="6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ht="12.75">
      <c r="A629" s="6"/>
      <c r="B629" s="6"/>
      <c r="C629" s="6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2.75">
      <c r="A630" s="6"/>
      <c r="B630" s="6"/>
      <c r="C630" s="6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ht="12.75">
      <c r="A631" s="6"/>
      <c r="B631" s="6"/>
      <c r="C631" s="6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2.75">
      <c r="A632" s="6"/>
      <c r="B632" s="6"/>
      <c r="C632" s="6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ht="12.75">
      <c r="A633" s="6"/>
      <c r="B633" s="6"/>
      <c r="C633" s="6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2.75">
      <c r="A634" s="6"/>
      <c r="B634" s="6"/>
      <c r="C634" s="6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ht="12.75">
      <c r="A635" s="6"/>
      <c r="B635" s="6"/>
      <c r="C635" s="6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2.75">
      <c r="A636" s="6"/>
      <c r="B636" s="6"/>
      <c r="C636" s="6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ht="12.75">
      <c r="A637" s="6"/>
      <c r="B637" s="6"/>
      <c r="C637" s="6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2.75">
      <c r="A638" s="6"/>
      <c r="B638" s="6"/>
      <c r="C638" s="6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ht="12.75">
      <c r="A639" s="6"/>
      <c r="B639" s="6"/>
      <c r="C639" s="6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2.75">
      <c r="A640" s="6"/>
      <c r="B640" s="6"/>
      <c r="C640" s="6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ht="12.75">
      <c r="A641" s="6"/>
      <c r="B641" s="6"/>
      <c r="C641" s="6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2.75">
      <c r="A642" s="6"/>
      <c r="B642" s="6"/>
      <c r="C642" s="6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ht="12.75">
      <c r="A643" s="6"/>
      <c r="B643" s="6"/>
      <c r="C643" s="6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2.75">
      <c r="A644" s="6"/>
      <c r="B644" s="6"/>
      <c r="C644" s="6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ht="12.75">
      <c r="A645" s="6"/>
      <c r="B645" s="6"/>
      <c r="C645" s="6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2.75">
      <c r="A646" s="6"/>
      <c r="B646" s="6"/>
      <c r="C646" s="6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ht="12.75">
      <c r="A647" s="6"/>
      <c r="B647" s="6"/>
      <c r="C647" s="6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2.75">
      <c r="A648" s="6"/>
      <c r="B648" s="6"/>
      <c r="C648" s="6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ht="12.75">
      <c r="A649" s="6"/>
      <c r="B649" s="6"/>
      <c r="C649" s="6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2.75">
      <c r="A650" s="6"/>
      <c r="B650" s="6"/>
      <c r="C650" s="6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ht="12.75">
      <c r="A651" s="6"/>
      <c r="B651" s="6"/>
      <c r="C651" s="6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2.75">
      <c r="A652" s="6"/>
      <c r="B652" s="6"/>
      <c r="C652" s="6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ht="12.75">
      <c r="A653" s="6"/>
      <c r="B653" s="6"/>
      <c r="C653" s="6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2.75">
      <c r="A654" s="6"/>
      <c r="B654" s="6"/>
      <c r="C654" s="6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ht="12.75">
      <c r="A655" s="6"/>
      <c r="B655" s="6"/>
      <c r="C655" s="6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2.75">
      <c r="A656" s="6"/>
      <c r="B656" s="6"/>
      <c r="C656" s="6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ht="12.75">
      <c r="A657" s="6"/>
      <c r="B657" s="6"/>
      <c r="C657" s="6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2.75">
      <c r="A658" s="6"/>
      <c r="B658" s="6"/>
      <c r="C658" s="6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ht="12.75">
      <c r="A659" s="6"/>
      <c r="B659" s="6"/>
      <c r="C659" s="6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2.75">
      <c r="A660" s="6"/>
      <c r="B660" s="6"/>
      <c r="C660" s="6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ht="12.75">
      <c r="A661" s="6"/>
      <c r="B661" s="6"/>
      <c r="C661" s="6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2.75">
      <c r="A662" s="6"/>
      <c r="B662" s="6"/>
      <c r="C662" s="6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ht="12.75">
      <c r="A663" s="6"/>
      <c r="B663" s="6"/>
      <c r="C663" s="6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2.75">
      <c r="A664" s="6"/>
      <c r="B664" s="6"/>
      <c r="C664" s="6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ht="12.75">
      <c r="A665" s="6"/>
      <c r="B665" s="6"/>
      <c r="C665" s="6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2.75">
      <c r="A666" s="6"/>
      <c r="B666" s="6"/>
      <c r="C666" s="6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ht="12.75">
      <c r="A667" s="6"/>
      <c r="B667" s="6"/>
      <c r="C667" s="6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2.75">
      <c r="A668" s="6"/>
      <c r="B668" s="6"/>
      <c r="C668" s="6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ht="12.75">
      <c r="A669" s="6"/>
      <c r="B669" s="6"/>
      <c r="C669" s="6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2.75">
      <c r="A670" s="6"/>
      <c r="B670" s="6"/>
      <c r="C670" s="6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ht="12.75">
      <c r="A671" s="6"/>
      <c r="B671" s="6"/>
      <c r="C671" s="6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2.75">
      <c r="A672" s="6"/>
      <c r="B672" s="6"/>
      <c r="C672" s="6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ht="12.75">
      <c r="A673" s="6"/>
      <c r="B673" s="6"/>
      <c r="C673" s="6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2.75">
      <c r="A674" s="6"/>
      <c r="B674" s="6"/>
      <c r="C674" s="6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ht="12.75">
      <c r="A675" s="6"/>
      <c r="B675" s="6"/>
      <c r="C675" s="6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2.75">
      <c r="A676" s="6"/>
      <c r="B676" s="6"/>
      <c r="C676" s="6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ht="12.75">
      <c r="A677" s="6"/>
      <c r="B677" s="6"/>
      <c r="C677" s="6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2.75">
      <c r="A678" s="6"/>
      <c r="B678" s="6"/>
      <c r="C678" s="6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ht="12.75">
      <c r="A679" s="6"/>
      <c r="B679" s="6"/>
      <c r="C679" s="6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2.75">
      <c r="A680" s="6"/>
      <c r="B680" s="6"/>
      <c r="C680" s="6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ht="12.75">
      <c r="A681" s="6"/>
      <c r="B681" s="6"/>
      <c r="C681" s="6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2.75">
      <c r="A682" s="6"/>
      <c r="B682" s="6"/>
      <c r="C682" s="6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ht="12.75">
      <c r="A683" s="6"/>
      <c r="B683" s="6"/>
      <c r="C683" s="6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2.75">
      <c r="A684" s="6"/>
      <c r="B684" s="6"/>
      <c r="C684" s="6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ht="12.75">
      <c r="A685" s="6"/>
      <c r="B685" s="6"/>
      <c r="C685" s="6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2.75">
      <c r="A686" s="6"/>
      <c r="B686" s="6"/>
      <c r="C686" s="6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ht="12.75">
      <c r="A687" s="6"/>
      <c r="B687" s="6"/>
      <c r="C687" s="6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2.75">
      <c r="A688" s="6"/>
      <c r="B688" s="6"/>
      <c r="C688" s="6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ht="12.75">
      <c r="A689" s="6"/>
      <c r="B689" s="6"/>
      <c r="C689" s="6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2.75">
      <c r="A690" s="6"/>
      <c r="B690" s="6"/>
      <c r="C690" s="6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ht="12.75">
      <c r="A691" s="6"/>
      <c r="B691" s="6"/>
      <c r="C691" s="6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2.75">
      <c r="A692" s="6"/>
      <c r="B692" s="6"/>
      <c r="C692" s="6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ht="12.75">
      <c r="A693" s="6"/>
      <c r="B693" s="6"/>
      <c r="C693" s="6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2.75">
      <c r="A694" s="6"/>
      <c r="B694" s="6"/>
      <c r="C694" s="6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ht="12.75">
      <c r="A695" s="6"/>
      <c r="B695" s="6"/>
      <c r="C695" s="6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2.75">
      <c r="A696" s="6"/>
      <c r="B696" s="6"/>
      <c r="C696" s="6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ht="12.75">
      <c r="A697" s="6"/>
      <c r="B697" s="6"/>
      <c r="C697" s="6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2.75">
      <c r="A698" s="6"/>
      <c r="B698" s="6"/>
      <c r="C698" s="6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ht="12.75">
      <c r="A699" s="6"/>
      <c r="B699" s="6"/>
      <c r="C699" s="6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2.75">
      <c r="A700" s="6"/>
      <c r="B700" s="6"/>
      <c r="C700" s="6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ht="12.75">
      <c r="A701" s="6"/>
      <c r="B701" s="6"/>
      <c r="C701" s="6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2.75">
      <c r="A702" s="6"/>
      <c r="B702" s="6"/>
      <c r="C702" s="6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ht="12.75">
      <c r="A703" s="6"/>
      <c r="B703" s="6"/>
      <c r="C703" s="6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2.75">
      <c r="A704" s="6"/>
      <c r="B704" s="6"/>
      <c r="C704" s="6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ht="12.75">
      <c r="A705" s="6"/>
      <c r="B705" s="6"/>
      <c r="C705" s="6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2.75">
      <c r="A706" s="6"/>
      <c r="B706" s="6"/>
      <c r="C706" s="6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ht="12.75">
      <c r="A707" s="6"/>
      <c r="B707" s="6"/>
      <c r="C707" s="6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2.75">
      <c r="A708" s="6"/>
      <c r="B708" s="6"/>
      <c r="C708" s="6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ht="12.75">
      <c r="A709" s="6"/>
      <c r="B709" s="6"/>
      <c r="C709" s="6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2.75">
      <c r="A710" s="6"/>
      <c r="B710" s="6"/>
      <c r="C710" s="6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ht="12.75">
      <c r="A711" s="6"/>
      <c r="B711" s="6"/>
      <c r="C711" s="6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2.75">
      <c r="A712" s="6"/>
      <c r="B712" s="6"/>
      <c r="C712" s="6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ht="12.75">
      <c r="A713" s="6"/>
      <c r="B713" s="6"/>
      <c r="C713" s="6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2.75">
      <c r="A714" s="6"/>
      <c r="B714" s="6"/>
      <c r="C714" s="6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ht="12.75">
      <c r="A715" s="6"/>
      <c r="B715" s="6"/>
      <c r="C715" s="6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2.75">
      <c r="A716" s="6"/>
      <c r="B716" s="6"/>
      <c r="C716" s="6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ht="12.75">
      <c r="A717" s="6"/>
      <c r="B717" s="6"/>
      <c r="C717" s="6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2.75">
      <c r="A718" s="6"/>
      <c r="B718" s="6"/>
      <c r="C718" s="6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ht="12.75">
      <c r="A719" s="6"/>
      <c r="B719" s="6"/>
      <c r="C719" s="6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2.75">
      <c r="A720" s="6"/>
      <c r="B720" s="6"/>
      <c r="C720" s="6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ht="12.75">
      <c r="A721" s="6"/>
      <c r="B721" s="6"/>
      <c r="C721" s="6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2.75">
      <c r="A722" s="6"/>
      <c r="B722" s="6"/>
      <c r="C722" s="6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ht="12.75">
      <c r="A723" s="6"/>
      <c r="B723" s="6"/>
      <c r="C723" s="6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2.75">
      <c r="A724" s="6"/>
      <c r="B724" s="6"/>
      <c r="C724" s="6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ht="12.75">
      <c r="A725" s="6"/>
      <c r="B725" s="6"/>
      <c r="C725" s="6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2.75">
      <c r="A726" s="6"/>
      <c r="B726" s="6"/>
      <c r="C726" s="6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ht="12.75">
      <c r="A727" s="6"/>
      <c r="B727" s="6"/>
      <c r="C727" s="6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2.75">
      <c r="A728" s="6"/>
      <c r="B728" s="6"/>
      <c r="C728" s="6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ht="12.75">
      <c r="A729" s="6"/>
      <c r="B729" s="6"/>
      <c r="C729" s="6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2.75">
      <c r="A730" s="6"/>
      <c r="B730" s="6"/>
      <c r="C730" s="6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ht="12.75">
      <c r="A731" s="6"/>
      <c r="B731" s="6"/>
      <c r="C731" s="6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2.75">
      <c r="A732" s="6"/>
      <c r="B732" s="6"/>
      <c r="C732" s="6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ht="12.75">
      <c r="A733" s="6"/>
      <c r="B733" s="6"/>
      <c r="C733" s="6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2.75">
      <c r="A734" s="6"/>
      <c r="B734" s="6"/>
      <c r="C734" s="6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12.75">
      <c r="A735" s="6"/>
      <c r="B735" s="6"/>
      <c r="C735" s="6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2.75">
      <c r="A736" s="6"/>
      <c r="B736" s="6"/>
      <c r="C736" s="6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ht="12.75">
      <c r="A737" s="6"/>
      <c r="B737" s="6"/>
      <c r="C737" s="6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2.75">
      <c r="A738" s="6"/>
      <c r="B738" s="6"/>
      <c r="C738" s="6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ht="12.75">
      <c r="A739" s="6"/>
      <c r="B739" s="6"/>
      <c r="C739" s="6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2.75">
      <c r="A740" s="6"/>
      <c r="B740" s="6"/>
      <c r="C740" s="6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ht="12.75">
      <c r="A741" s="6"/>
      <c r="B741" s="6"/>
      <c r="C741" s="6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2.75">
      <c r="A742" s="6"/>
      <c r="B742" s="6"/>
      <c r="C742" s="6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ht="12.75">
      <c r="A743" s="6"/>
      <c r="B743" s="6"/>
      <c r="C743" s="6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2.75">
      <c r="A744" s="6"/>
      <c r="B744" s="6"/>
      <c r="C744" s="6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ht="12.75">
      <c r="A745" s="6"/>
      <c r="B745" s="6"/>
      <c r="C745" s="6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2.75">
      <c r="A746" s="6"/>
      <c r="B746" s="6"/>
      <c r="C746" s="6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ht="12.75">
      <c r="A747" s="6"/>
      <c r="B747" s="6"/>
      <c r="C747" s="6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2.75">
      <c r="A748" s="6"/>
      <c r="B748" s="6"/>
      <c r="C748" s="6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ht="12.75">
      <c r="A749" s="6"/>
      <c r="B749" s="6"/>
      <c r="C749" s="6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2.75">
      <c r="A750" s="6"/>
      <c r="B750" s="6"/>
      <c r="C750" s="6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ht="12.75">
      <c r="A751" s="6"/>
      <c r="B751" s="6"/>
      <c r="C751" s="6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2.75">
      <c r="A752" s="6"/>
      <c r="B752" s="6"/>
      <c r="C752" s="6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ht="12.75">
      <c r="A753" s="6"/>
      <c r="B753" s="6"/>
      <c r="C753" s="6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2.75">
      <c r="A754" s="6"/>
      <c r="B754" s="6"/>
      <c r="C754" s="6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ht="12.75">
      <c r="A755" s="6"/>
      <c r="B755" s="6"/>
      <c r="C755" s="6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2.75">
      <c r="A756" s="6"/>
      <c r="B756" s="6"/>
      <c r="C756" s="6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ht="12.75">
      <c r="A757" s="6"/>
      <c r="B757" s="6"/>
      <c r="C757" s="6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2.75">
      <c r="A758" s="6"/>
      <c r="B758" s="6"/>
      <c r="C758" s="6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ht="12.75">
      <c r="A759" s="6"/>
      <c r="B759" s="6"/>
      <c r="C759" s="6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2.75">
      <c r="A760" s="6"/>
      <c r="B760" s="6"/>
      <c r="C760" s="6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ht="12.75">
      <c r="A761" s="6"/>
      <c r="B761" s="6"/>
      <c r="C761" s="6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2.75">
      <c r="A762" s="6"/>
      <c r="B762" s="6"/>
      <c r="C762" s="6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ht="12.75">
      <c r="A763" s="6"/>
      <c r="B763" s="6"/>
      <c r="C763" s="6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2.75">
      <c r="A764" s="6"/>
      <c r="B764" s="6"/>
      <c r="C764" s="6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ht="12.75">
      <c r="A765" s="6"/>
      <c r="B765" s="6"/>
      <c r="C765" s="6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2.75">
      <c r="A766" s="6"/>
      <c r="B766" s="6"/>
      <c r="C766" s="6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ht="12.75">
      <c r="A767" s="6"/>
      <c r="B767" s="6"/>
      <c r="C767" s="6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2.75">
      <c r="A768" s="6"/>
      <c r="B768" s="6"/>
      <c r="C768" s="6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ht="12.75">
      <c r="A769" s="6"/>
      <c r="B769" s="6"/>
      <c r="C769" s="6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2.75">
      <c r="A770" s="6"/>
      <c r="B770" s="6"/>
      <c r="C770" s="6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ht="12.75">
      <c r="A771" s="6"/>
      <c r="B771" s="6"/>
      <c r="C771" s="6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2.75">
      <c r="A772" s="6"/>
      <c r="B772" s="6"/>
      <c r="C772" s="6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ht="12.75">
      <c r="A773" s="6"/>
      <c r="B773" s="6"/>
      <c r="C773" s="6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2.75">
      <c r="A774" s="6"/>
      <c r="B774" s="6"/>
      <c r="C774" s="6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ht="12.75">
      <c r="A775" s="6"/>
      <c r="B775" s="6"/>
      <c r="C775" s="6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2.75">
      <c r="A776" s="6"/>
      <c r="B776" s="6"/>
      <c r="C776" s="6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ht="12.75">
      <c r="A777" s="6"/>
      <c r="B777" s="6"/>
      <c r="C777" s="6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2.75">
      <c r="A778" s="6"/>
      <c r="B778" s="6"/>
      <c r="C778" s="6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ht="12.75">
      <c r="A779" s="6"/>
      <c r="B779" s="6"/>
      <c r="C779" s="6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2.75">
      <c r="A780" s="6"/>
      <c r="B780" s="6"/>
      <c r="C780" s="6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ht="12.75">
      <c r="A781" s="6"/>
      <c r="B781" s="6"/>
      <c r="C781" s="6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2.75">
      <c r="A782" s="6"/>
      <c r="B782" s="6"/>
      <c r="C782" s="6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ht="12.75">
      <c r="A783" s="6"/>
      <c r="B783" s="6"/>
      <c r="C783" s="6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2.75">
      <c r="A784" s="6"/>
      <c r="B784" s="6"/>
      <c r="C784" s="6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ht="12.75">
      <c r="A785" s="6"/>
      <c r="B785" s="6"/>
      <c r="C785" s="6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2.75">
      <c r="A786" s="6"/>
      <c r="B786" s="6"/>
      <c r="C786" s="6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ht="12.75">
      <c r="A787" s="6"/>
      <c r="B787" s="6"/>
      <c r="C787" s="6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2.75">
      <c r="A788" s="6"/>
      <c r="B788" s="6"/>
      <c r="C788" s="6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ht="12.75">
      <c r="A789" s="6"/>
      <c r="B789" s="6"/>
      <c r="C789" s="6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2.75">
      <c r="A790" s="6"/>
      <c r="B790" s="6"/>
      <c r="C790" s="6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ht="12.75">
      <c r="A791" s="6"/>
      <c r="B791" s="6"/>
      <c r="C791" s="6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2.75">
      <c r="A792" s="6"/>
      <c r="B792" s="6"/>
      <c r="C792" s="6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ht="12.75">
      <c r="A793" s="6"/>
      <c r="B793" s="6"/>
      <c r="C793" s="6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2.75">
      <c r="A794" s="6"/>
      <c r="B794" s="6"/>
      <c r="C794" s="6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ht="12.75">
      <c r="A795" s="6"/>
      <c r="B795" s="6"/>
      <c r="C795" s="6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2.75">
      <c r="A796" s="6"/>
      <c r="B796" s="6"/>
      <c r="C796" s="6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ht="12.75">
      <c r="A797" s="6"/>
      <c r="B797" s="6"/>
      <c r="C797" s="6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2.75">
      <c r="A798" s="6"/>
      <c r="B798" s="6"/>
      <c r="C798" s="6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ht="12.75">
      <c r="A799" s="6"/>
      <c r="B799" s="6"/>
      <c r="C799" s="6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2.75">
      <c r="A800" s="6"/>
      <c r="B800" s="6"/>
      <c r="C800" s="6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ht="12.75">
      <c r="A801" s="6"/>
      <c r="B801" s="6"/>
      <c r="C801" s="6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2.75">
      <c r="A802" s="6"/>
      <c r="B802" s="6"/>
      <c r="C802" s="6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ht="12.75">
      <c r="A803" s="6"/>
      <c r="B803" s="6"/>
      <c r="C803" s="6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2.75">
      <c r="A804" s="6"/>
      <c r="B804" s="6"/>
      <c r="C804" s="6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ht="12.75">
      <c r="A805" s="6"/>
      <c r="B805" s="6"/>
      <c r="C805" s="6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2.75">
      <c r="A806" s="6"/>
      <c r="B806" s="6"/>
      <c r="C806" s="6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ht="12.75">
      <c r="A807" s="6"/>
      <c r="B807" s="6"/>
      <c r="C807" s="6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2.75">
      <c r="A808" s="6"/>
      <c r="B808" s="6"/>
      <c r="C808" s="6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ht="12.75">
      <c r="A809" s="6"/>
      <c r="B809" s="6"/>
      <c r="C809" s="6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2.75">
      <c r="A810" s="6"/>
      <c r="B810" s="6"/>
      <c r="C810" s="6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ht="12.75">
      <c r="A811" s="6"/>
      <c r="B811" s="6"/>
      <c r="C811" s="6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2.75">
      <c r="A812" s="6"/>
      <c r="B812" s="6"/>
      <c r="C812" s="6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ht="12.75">
      <c r="A813" s="6"/>
      <c r="B813" s="6"/>
      <c r="C813" s="6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2.75">
      <c r="A814" s="6"/>
      <c r="B814" s="6"/>
      <c r="C814" s="6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ht="12.75">
      <c r="A815" s="6"/>
      <c r="B815" s="6"/>
      <c r="C815" s="6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2.75">
      <c r="A816" s="6"/>
      <c r="B816" s="6"/>
      <c r="C816" s="6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ht="12.75">
      <c r="A817" s="6"/>
      <c r="B817" s="6"/>
      <c r="C817" s="6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2.75">
      <c r="A818" s="6"/>
      <c r="B818" s="6"/>
      <c r="C818" s="6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ht="12.75">
      <c r="A819" s="6"/>
      <c r="B819" s="6"/>
      <c r="C819" s="6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2.75">
      <c r="A820" s="6"/>
      <c r="B820" s="6"/>
      <c r="C820" s="6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ht="12.75">
      <c r="A821" s="6"/>
      <c r="B821" s="6"/>
      <c r="C821" s="6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2.75">
      <c r="A822" s="6"/>
      <c r="B822" s="6"/>
      <c r="C822" s="6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ht="12.75">
      <c r="A823" s="6"/>
      <c r="B823" s="6"/>
      <c r="C823" s="6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2.75">
      <c r="A824" s="6"/>
      <c r="B824" s="6"/>
      <c r="C824" s="6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ht="12.75">
      <c r="A825" s="6"/>
      <c r="B825" s="6"/>
      <c r="C825" s="6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2.75">
      <c r="A826" s="6"/>
      <c r="B826" s="6"/>
      <c r="C826" s="6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ht="12.75">
      <c r="A827" s="6"/>
      <c r="B827" s="6"/>
      <c r="C827" s="6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2.75">
      <c r="A828" s="6"/>
      <c r="B828" s="6"/>
      <c r="C828" s="6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ht="12.75">
      <c r="A829" s="6"/>
      <c r="B829" s="6"/>
      <c r="C829" s="6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2.75">
      <c r="A830" s="6"/>
      <c r="B830" s="6"/>
      <c r="C830" s="6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ht="12.75">
      <c r="A831" s="6"/>
      <c r="B831" s="6"/>
      <c r="C831" s="6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2.75">
      <c r="A832" s="6"/>
      <c r="B832" s="6"/>
      <c r="C832" s="6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ht="12.75">
      <c r="A833" s="6"/>
      <c r="B833" s="6"/>
      <c r="C833" s="6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2.75">
      <c r="A834" s="6"/>
      <c r="B834" s="6"/>
      <c r="C834" s="6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ht="12.75">
      <c r="A835" s="6"/>
      <c r="B835" s="6"/>
      <c r="C835" s="6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2.75">
      <c r="A836" s="6"/>
      <c r="B836" s="6"/>
      <c r="C836" s="6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ht="12.75">
      <c r="A837" s="6"/>
      <c r="B837" s="6"/>
      <c r="C837" s="6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2.75">
      <c r="A838" s="6"/>
      <c r="B838" s="6"/>
      <c r="C838" s="6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ht="12.75">
      <c r="A839" s="6"/>
      <c r="B839" s="6"/>
      <c r="C839" s="6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2.75">
      <c r="A840" s="6"/>
      <c r="B840" s="6"/>
      <c r="C840" s="6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ht="12.75">
      <c r="A841" s="6"/>
      <c r="B841" s="6"/>
      <c r="C841" s="6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2.75">
      <c r="A842" s="6"/>
      <c r="B842" s="6"/>
      <c r="C842" s="6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ht="12.75">
      <c r="A843" s="6"/>
      <c r="B843" s="6"/>
      <c r="C843" s="6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2.75">
      <c r="A844" s="6"/>
      <c r="B844" s="6"/>
      <c r="C844" s="6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ht="12.75">
      <c r="A845" s="6"/>
      <c r="B845" s="6"/>
      <c r="C845" s="6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2.75">
      <c r="A846" s="6"/>
      <c r="B846" s="6"/>
      <c r="C846" s="6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ht="12.75">
      <c r="A847" s="6"/>
      <c r="B847" s="6"/>
      <c r="C847" s="6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2.75">
      <c r="A848" s="6"/>
      <c r="B848" s="6"/>
      <c r="C848" s="6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ht="12.75">
      <c r="A849" s="6"/>
      <c r="B849" s="6"/>
      <c r="C849" s="6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2.75">
      <c r="A850" s="6"/>
      <c r="B850" s="6"/>
      <c r="C850" s="6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ht="12.75">
      <c r="A851" s="6"/>
      <c r="B851" s="6"/>
      <c r="C851" s="6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2.75">
      <c r="A852" s="6"/>
      <c r="B852" s="6"/>
      <c r="C852" s="6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ht="12.75">
      <c r="A853" s="6"/>
      <c r="B853" s="6"/>
      <c r="C853" s="6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2.75">
      <c r="A854" s="6"/>
      <c r="B854" s="6"/>
      <c r="C854" s="6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ht="12.75">
      <c r="A855" s="6"/>
      <c r="B855" s="6"/>
      <c r="C855" s="6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2.75">
      <c r="A856" s="6"/>
      <c r="B856" s="6"/>
      <c r="C856" s="6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ht="12.75">
      <c r="A857" s="6"/>
      <c r="B857" s="6"/>
      <c r="C857" s="6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2.75">
      <c r="A858" s="6"/>
      <c r="B858" s="6"/>
      <c r="C858" s="6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ht="12.75">
      <c r="A859" s="6"/>
      <c r="B859" s="6"/>
      <c r="C859" s="6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2.75">
      <c r="A860" s="6"/>
      <c r="B860" s="6"/>
      <c r="C860" s="6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ht="12.75">
      <c r="A861" s="6"/>
      <c r="B861" s="6"/>
      <c r="C861" s="6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2.75">
      <c r="A862" s="6"/>
      <c r="B862" s="6"/>
      <c r="C862" s="6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ht="12.75">
      <c r="A863" s="6"/>
      <c r="B863" s="6"/>
      <c r="C863" s="6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2.75">
      <c r="A864" s="6"/>
      <c r="B864" s="6"/>
      <c r="C864" s="6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ht="12.75">
      <c r="A865" s="6"/>
      <c r="B865" s="6"/>
      <c r="C865" s="6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2.75">
      <c r="A866" s="6"/>
      <c r="B866" s="6"/>
      <c r="C866" s="6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ht="12.75">
      <c r="A867" s="6"/>
      <c r="B867" s="6"/>
      <c r="C867" s="6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2.75">
      <c r="A868" s="6"/>
      <c r="B868" s="6"/>
      <c r="C868" s="6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ht="12.75">
      <c r="A869" s="6"/>
      <c r="B869" s="6"/>
      <c r="C869" s="6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2.75">
      <c r="A870" s="6"/>
      <c r="B870" s="6"/>
      <c r="C870" s="6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ht="12.75">
      <c r="A871" s="6"/>
      <c r="B871" s="6"/>
      <c r="C871" s="6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2.75">
      <c r="A872" s="6"/>
      <c r="B872" s="6"/>
      <c r="C872" s="6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ht="12.75">
      <c r="A873" s="6"/>
      <c r="B873" s="6"/>
      <c r="C873" s="6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2.75">
      <c r="A874" s="6"/>
      <c r="B874" s="6"/>
      <c r="C874" s="6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ht="12.75">
      <c r="A875" s="6"/>
      <c r="B875" s="6"/>
      <c r="C875" s="6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2.75">
      <c r="A876" s="6"/>
      <c r="B876" s="6"/>
      <c r="C876" s="6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ht="12.75">
      <c r="A877" s="6"/>
      <c r="B877" s="6"/>
      <c r="C877" s="6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2.75">
      <c r="A878" s="6"/>
      <c r="B878" s="6"/>
      <c r="C878" s="6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ht="12.75">
      <c r="A879" s="6"/>
      <c r="B879" s="6"/>
      <c r="C879" s="6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2.75">
      <c r="A880" s="6"/>
      <c r="B880" s="6"/>
      <c r="C880" s="6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ht="12.75">
      <c r="A881" s="6"/>
      <c r="B881" s="6"/>
      <c r="C881" s="6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2.75">
      <c r="A882" s="6"/>
      <c r="B882" s="6"/>
      <c r="C882" s="6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ht="12.75">
      <c r="A883" s="6"/>
      <c r="B883" s="6"/>
      <c r="C883" s="6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2.75">
      <c r="A884" s="6"/>
      <c r="B884" s="6"/>
      <c r="C884" s="6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ht="12.75">
      <c r="A885" s="6"/>
      <c r="B885" s="6"/>
      <c r="C885" s="6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2.75">
      <c r="A886" s="6"/>
      <c r="B886" s="6"/>
      <c r="C886" s="6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ht="12.75">
      <c r="A887" s="6"/>
      <c r="B887" s="6"/>
      <c r="C887" s="6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2.75">
      <c r="A888" s="6"/>
      <c r="B888" s="6"/>
      <c r="C888" s="6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ht="12.75">
      <c r="A889" s="6"/>
      <c r="B889" s="6"/>
      <c r="C889" s="6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2.75">
      <c r="A890" s="6"/>
      <c r="B890" s="6"/>
      <c r="C890" s="6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ht="12.75">
      <c r="A891" s="6"/>
      <c r="B891" s="6"/>
      <c r="C891" s="6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2.75">
      <c r="A892" s="6"/>
      <c r="B892" s="6"/>
      <c r="C892" s="6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ht="12.75">
      <c r="A893" s="6"/>
      <c r="B893" s="6"/>
      <c r="C893" s="6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2.75">
      <c r="A894" s="6"/>
      <c r="B894" s="6"/>
      <c r="C894" s="6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ht="12.75">
      <c r="A895" s="6"/>
      <c r="B895" s="6"/>
      <c r="C895" s="6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2.75">
      <c r="A896" s="6"/>
      <c r="B896" s="6"/>
      <c r="C896" s="6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ht="12.75">
      <c r="A897" s="6"/>
      <c r="B897" s="6"/>
      <c r="C897" s="6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2.75">
      <c r="A898" s="6"/>
      <c r="B898" s="6"/>
      <c r="C898" s="6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ht="12.75">
      <c r="A899" s="6"/>
      <c r="B899" s="6"/>
      <c r="C899" s="6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2.75">
      <c r="A900" s="6"/>
      <c r="B900" s="6"/>
      <c r="C900" s="6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ht="12.75">
      <c r="A901" s="6"/>
      <c r="B901" s="6"/>
      <c r="C901" s="6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2.75">
      <c r="A902" s="6"/>
      <c r="B902" s="6"/>
      <c r="C902" s="6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ht="12.75">
      <c r="A903" s="6"/>
      <c r="B903" s="6"/>
      <c r="C903" s="6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2.75">
      <c r="A904" s="6"/>
      <c r="B904" s="6"/>
      <c r="C904" s="6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ht="12.75">
      <c r="A905" s="6"/>
      <c r="B905" s="6"/>
      <c r="C905" s="6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2.75">
      <c r="A906" s="6"/>
      <c r="B906" s="6"/>
      <c r="C906" s="6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ht="12.75">
      <c r="A907" s="6"/>
      <c r="B907" s="6"/>
      <c r="C907" s="6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2.75">
      <c r="A908" s="6"/>
      <c r="B908" s="6"/>
      <c r="C908" s="6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ht="12.75">
      <c r="A909" s="6"/>
      <c r="B909" s="6"/>
      <c r="C909" s="6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2.75">
      <c r="A910" s="6"/>
      <c r="B910" s="6"/>
      <c r="C910" s="6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ht="12.75">
      <c r="A911" s="6"/>
      <c r="B911" s="6"/>
      <c r="C911" s="6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2.75">
      <c r="A912" s="6"/>
      <c r="B912" s="6"/>
      <c r="C912" s="6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ht="12.75">
      <c r="A913" s="6"/>
      <c r="B913" s="6"/>
      <c r="C913" s="6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2.75">
      <c r="A914" s="6"/>
      <c r="B914" s="6"/>
      <c r="C914" s="6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ht="12.75">
      <c r="A915" s="6"/>
      <c r="B915" s="6"/>
      <c r="C915" s="6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2.75">
      <c r="A916" s="6"/>
      <c r="B916" s="6"/>
      <c r="C916" s="6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ht="12.75">
      <c r="A917" s="6"/>
      <c r="B917" s="6"/>
      <c r="C917" s="6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2.75">
      <c r="A918" s="6"/>
      <c r="B918" s="6"/>
      <c r="C918" s="6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ht="12.75">
      <c r="A919" s="6"/>
      <c r="B919" s="6"/>
      <c r="C919" s="6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2.75">
      <c r="A920" s="6"/>
      <c r="B920" s="6"/>
      <c r="C920" s="6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ht="12.75">
      <c r="A921" s="6"/>
      <c r="B921" s="6"/>
      <c r="C921" s="6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2.75">
      <c r="A922" s="6"/>
      <c r="B922" s="6"/>
      <c r="C922" s="6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ht="12.75">
      <c r="A923" s="6"/>
      <c r="B923" s="6"/>
      <c r="C923" s="6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2.75">
      <c r="A924" s="6"/>
      <c r="B924" s="6"/>
      <c r="C924" s="6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ht="12.75">
      <c r="A925" s="6"/>
      <c r="B925" s="6"/>
      <c r="C925" s="6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2.75">
      <c r="A926" s="6"/>
      <c r="B926" s="6"/>
      <c r="C926" s="6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ht="12.75">
      <c r="A927" s="6"/>
      <c r="B927" s="6"/>
      <c r="C927" s="6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2.75">
      <c r="A928" s="6"/>
      <c r="B928" s="6"/>
      <c r="C928" s="6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ht="12.75">
      <c r="A929" s="6"/>
      <c r="B929" s="6"/>
      <c r="C929" s="6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2.75">
      <c r="A930" s="6"/>
      <c r="B930" s="6"/>
      <c r="C930" s="6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ht="12.75">
      <c r="A931" s="6"/>
      <c r="B931" s="6"/>
      <c r="C931" s="6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2.75">
      <c r="A932" s="6"/>
      <c r="B932" s="6"/>
      <c r="C932" s="6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ht="12.75">
      <c r="A933" s="6"/>
      <c r="B933" s="6"/>
      <c r="C933" s="6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2.75">
      <c r="A934" s="6"/>
      <c r="B934" s="6"/>
      <c r="C934" s="6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ht="12.75">
      <c r="A935" s="6"/>
      <c r="B935" s="6"/>
      <c r="C935" s="6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2.75">
      <c r="A936" s="6"/>
      <c r="B936" s="6"/>
      <c r="C936" s="6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ht="12.75">
      <c r="A937" s="6"/>
      <c r="B937" s="6"/>
      <c r="C937" s="6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2.75">
      <c r="A938" s="6"/>
      <c r="B938" s="6"/>
      <c r="C938" s="6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ht="12.75">
      <c r="A939" s="6"/>
      <c r="B939" s="6"/>
      <c r="C939" s="6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2.75">
      <c r="A940" s="6"/>
      <c r="B940" s="6"/>
      <c r="C940" s="6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ht="12.75">
      <c r="A941" s="6"/>
      <c r="B941" s="6"/>
      <c r="C941" s="6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2.75">
      <c r="A942" s="6"/>
      <c r="B942" s="6"/>
      <c r="C942" s="6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ht="12.75">
      <c r="A943" s="6"/>
      <c r="B943" s="6"/>
      <c r="C943" s="6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2.75">
      <c r="A944" s="6"/>
      <c r="B944" s="6"/>
      <c r="C944" s="6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ht="12.75">
      <c r="A945" s="6"/>
      <c r="B945" s="6"/>
      <c r="C945" s="6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2.75">
      <c r="A946" s="6"/>
      <c r="B946" s="6"/>
      <c r="C946" s="6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ht="12.75">
      <c r="A947" s="6"/>
      <c r="B947" s="6"/>
      <c r="C947" s="6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2.75">
      <c r="A948" s="6"/>
      <c r="B948" s="6"/>
      <c r="C948" s="6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ht="12.75">
      <c r="A949" s="6"/>
      <c r="B949" s="6"/>
      <c r="C949" s="6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2.75">
      <c r="A950" s="6"/>
      <c r="B950" s="6"/>
      <c r="C950" s="6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ht="12.75">
      <c r="A951" s="6"/>
      <c r="B951" s="6"/>
      <c r="C951" s="6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2.75">
      <c r="A952" s="6"/>
      <c r="B952" s="6"/>
      <c r="C952" s="6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ht="12.75">
      <c r="A953" s="6"/>
      <c r="B953" s="6"/>
      <c r="C953" s="6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2.75">
      <c r="A954" s="6"/>
      <c r="B954" s="6"/>
      <c r="C954" s="6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ht="12.75">
      <c r="A955" s="6"/>
      <c r="B955" s="6"/>
      <c r="C955" s="6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2.75">
      <c r="A956" s="6"/>
      <c r="B956" s="6"/>
      <c r="C956" s="6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ht="12.75">
      <c r="A957" s="6"/>
      <c r="B957" s="6"/>
      <c r="C957" s="6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2.75">
      <c r="A958" s="6"/>
      <c r="B958" s="6"/>
      <c r="C958" s="6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ht="12.75">
      <c r="A959" s="6"/>
      <c r="B959" s="6"/>
      <c r="C959" s="6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2.75">
      <c r="A960" s="6"/>
      <c r="B960" s="6"/>
      <c r="C960" s="6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ht="12.75">
      <c r="A961" s="6"/>
      <c r="B961" s="6"/>
      <c r="C961" s="6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2.75">
      <c r="A962" s="6"/>
      <c r="B962" s="6"/>
      <c r="C962" s="6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ht="12.75">
      <c r="A963" s="6"/>
      <c r="B963" s="6"/>
      <c r="C963" s="6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2.75">
      <c r="A964" s="6"/>
      <c r="B964" s="6"/>
      <c r="C964" s="6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ht="12.75">
      <c r="A965" s="6"/>
      <c r="B965" s="6"/>
      <c r="C965" s="6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2.75">
      <c r="A966" s="6"/>
      <c r="B966" s="6"/>
      <c r="C966" s="6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ht="12.75">
      <c r="A967" s="6"/>
      <c r="B967" s="6"/>
      <c r="C967" s="6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2.75">
      <c r="A968" s="6"/>
      <c r="B968" s="6"/>
      <c r="C968" s="6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ht="12.75">
      <c r="A969" s="6"/>
      <c r="B969" s="6"/>
      <c r="C969" s="6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2.75">
      <c r="A970" s="6"/>
      <c r="B970" s="6"/>
      <c r="C970" s="6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ht="12.75">
      <c r="A971" s="6"/>
      <c r="B971" s="6"/>
      <c r="C971" s="6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2.75">
      <c r="A972" s="6"/>
      <c r="B972" s="6"/>
      <c r="C972" s="6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ht="12.75">
      <c r="A973" s="6"/>
      <c r="B973" s="6"/>
      <c r="C973" s="6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2.75">
      <c r="A974" s="6"/>
      <c r="B974" s="6"/>
      <c r="C974" s="6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ht="12.75">
      <c r="A975" s="6"/>
      <c r="B975" s="6"/>
      <c r="C975" s="6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2.75">
      <c r="A976" s="6"/>
      <c r="B976" s="6"/>
      <c r="C976" s="6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ht="12.75">
      <c r="A977" s="6"/>
      <c r="B977" s="6"/>
      <c r="C977" s="6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2.75">
      <c r="A978" s="6"/>
      <c r="B978" s="6"/>
      <c r="C978" s="6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ht="12.75">
      <c r="A979" s="6"/>
      <c r="B979" s="6"/>
      <c r="C979" s="6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2.75">
      <c r="A980" s="6"/>
      <c r="B980" s="6"/>
      <c r="C980" s="6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ht="12.75">
      <c r="A981" s="6"/>
      <c r="B981" s="6"/>
      <c r="C981" s="6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2.75">
      <c r="A982" s="6"/>
      <c r="B982" s="6"/>
      <c r="C982" s="6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ht="12.75">
      <c r="A983" s="6"/>
      <c r="B983" s="6"/>
      <c r="C983" s="6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2.75">
      <c r="A984" s="6"/>
      <c r="B984" s="6"/>
      <c r="C984" s="6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ht="12.75">
      <c r="A985" s="6"/>
      <c r="B985" s="6"/>
      <c r="C985" s="6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2.75">
      <c r="A986" s="6"/>
      <c r="B986" s="6"/>
      <c r="C986" s="6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ht="12.75">
      <c r="A987" s="6"/>
      <c r="B987" s="6"/>
      <c r="C987" s="6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2.75">
      <c r="A988" s="6"/>
      <c r="B988" s="6"/>
      <c r="C988" s="6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ht="12.75">
      <c r="A989" s="6"/>
      <c r="B989" s="6"/>
      <c r="C989" s="6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2.75">
      <c r="A990" s="6"/>
      <c r="B990" s="6"/>
      <c r="C990" s="6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ht="12.75">
      <c r="A991" s="6"/>
      <c r="B991" s="6"/>
      <c r="C991" s="6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2.75">
      <c r="A992" s="6"/>
      <c r="B992" s="6"/>
      <c r="C992" s="6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ht="12.75">
      <c r="A993" s="6"/>
      <c r="B993" s="6"/>
      <c r="C993" s="6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2.75">
      <c r="A994" s="6"/>
      <c r="B994" s="6"/>
      <c r="C994" s="6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ht="12.75">
      <c r="A995" s="6"/>
      <c r="B995" s="6"/>
      <c r="C995" s="6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2.75">
      <c r="A996" s="6"/>
      <c r="B996" s="6"/>
      <c r="C996" s="6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ht="12.75">
      <c r="A997" s="6"/>
      <c r="B997" s="6"/>
      <c r="C997" s="6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2.75">
      <c r="A998" s="6"/>
      <c r="B998" s="6"/>
      <c r="C998" s="6"/>
      <c r="D998" s="1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ht="12.75">
      <c r="A999" s="6"/>
      <c r="B999" s="6"/>
      <c r="C999" s="6"/>
      <c r="D999" s="1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ht="12.75">
      <c r="A1000" s="6"/>
      <c r="B1000" s="6"/>
      <c r="C1000" s="6"/>
      <c r="D1000" s="1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spans="1:35" ht="12.75">
      <c r="A1001" s="6"/>
      <c r="B1001" s="6"/>
      <c r="C1001" s="6"/>
      <c r="D1001" s="10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spans="1:35" ht="12.75">
      <c r="A1002" s="6"/>
      <c r="B1002" s="6"/>
      <c r="C1002" s="6"/>
      <c r="D1002" s="10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spans="1:35" ht="12.75">
      <c r="A1003" s="6"/>
      <c r="B1003" s="6"/>
      <c r="C1003" s="6"/>
      <c r="D1003" s="10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spans="1:35" ht="12.75">
      <c r="A1004" s="6"/>
      <c r="B1004" s="6"/>
      <c r="C1004" s="6"/>
      <c r="D1004" s="10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spans="1:35" ht="12.75">
      <c r="A1005" s="6"/>
      <c r="B1005" s="6"/>
      <c r="C1005" s="6"/>
      <c r="D1005" s="10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spans="1:35" ht="12.75">
      <c r="A1006" s="6"/>
      <c r="B1006" s="6"/>
      <c r="C1006" s="6"/>
      <c r="D1006" s="10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spans="1:35" ht="12.75">
      <c r="A1007" s="6"/>
      <c r="B1007" s="6"/>
      <c r="C1007" s="6"/>
      <c r="D1007" s="10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spans="1:35" ht="12.75">
      <c r="A1008" s="6"/>
      <c r="B1008" s="6"/>
      <c r="C1008" s="6"/>
      <c r="D1008" s="10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spans="1:35" ht="12.75">
      <c r="A1009" s="6"/>
      <c r="B1009" s="6"/>
      <c r="C1009" s="6"/>
      <c r="D1009" s="10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spans="1:35" ht="12.75">
      <c r="A1010" s="6"/>
      <c r="B1010" s="6"/>
      <c r="C1010" s="6"/>
      <c r="D1010" s="10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spans="1:35" ht="12.75">
      <c r="A1011" s="6"/>
      <c r="B1011" s="6"/>
      <c r="C1011" s="6"/>
      <c r="D1011" s="10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spans="1:35" ht="12.75">
      <c r="A1012" s="6"/>
      <c r="B1012" s="6"/>
      <c r="C1012" s="6"/>
      <c r="D1012" s="10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spans="1:35" ht="12.75">
      <c r="A1013" s="6"/>
      <c r="B1013" s="6"/>
      <c r="C1013" s="6"/>
      <c r="D1013" s="10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spans="1:35" ht="12.75">
      <c r="A1014" s="6"/>
      <c r="B1014" s="6"/>
      <c r="C1014" s="6"/>
      <c r="D1014" s="10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spans="1:35" ht="12.75">
      <c r="A1015" s="6"/>
      <c r="B1015" s="6"/>
      <c r="C1015" s="6"/>
      <c r="D1015" s="10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spans="1:35" ht="12.75">
      <c r="A1016" s="6"/>
      <c r="B1016" s="6"/>
      <c r="C1016" s="6"/>
      <c r="D1016" s="10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spans="1:35" ht="12.75">
      <c r="A1017" s="6"/>
      <c r="B1017" s="6"/>
      <c r="C1017" s="6"/>
      <c r="D1017" s="10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spans="1:35" ht="12.75">
      <c r="A1018" s="6"/>
      <c r="B1018" s="6"/>
      <c r="C1018" s="6"/>
      <c r="D1018" s="10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spans="1:35" ht="12.75">
      <c r="A1019" s="6"/>
      <c r="B1019" s="6"/>
      <c r="C1019" s="6"/>
      <c r="D1019" s="10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spans="1:35" ht="12.75">
      <c r="A1020" s="6"/>
      <c r="B1020" s="6"/>
      <c r="C1020" s="6"/>
      <c r="D1020" s="10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spans="1:35" ht="12.75">
      <c r="A1021" s="6"/>
      <c r="B1021" s="6"/>
      <c r="C1021" s="6"/>
      <c r="D1021" s="10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spans="1:35" ht="12.75">
      <c r="A1022" s="6"/>
      <c r="B1022" s="6"/>
      <c r="C1022" s="6"/>
      <c r="D1022" s="10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spans="1:35" ht="12.75">
      <c r="A1023" s="6"/>
      <c r="B1023" s="6"/>
      <c r="C1023" s="6"/>
      <c r="D1023" s="10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spans="1:35" ht="12.75">
      <c r="A1024" s="6"/>
      <c r="B1024" s="6"/>
      <c r="C1024" s="6"/>
      <c r="D1024" s="10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spans="1:35" ht="12.75">
      <c r="A1025" s="6"/>
      <c r="B1025" s="6"/>
      <c r="C1025" s="6"/>
      <c r="D1025" s="10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spans="1:35" ht="12.75">
      <c r="A1026" s="6"/>
      <c r="B1026" s="6"/>
      <c r="C1026" s="6"/>
      <c r="D1026" s="10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spans="1:35" ht="12.75">
      <c r="A1027" s="6"/>
      <c r="B1027" s="6"/>
      <c r="C1027" s="6"/>
      <c r="D1027" s="10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spans="1:35" ht="12.75">
      <c r="A1028" s="6"/>
      <c r="B1028" s="6"/>
      <c r="C1028" s="6"/>
      <c r="D1028" s="10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spans="1:35" ht="12.75">
      <c r="A1029" s="6"/>
      <c r="B1029" s="6"/>
      <c r="C1029" s="6"/>
      <c r="D1029" s="10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spans="1:35" ht="12.75">
      <c r="A1030" s="6"/>
      <c r="B1030" s="6"/>
      <c r="C1030" s="6"/>
      <c r="D1030" s="10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spans="1:35" ht="12.75">
      <c r="A1031" s="6"/>
      <c r="B1031" s="6"/>
      <c r="C1031" s="6"/>
      <c r="D1031" s="10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spans="1:35" ht="12.75">
      <c r="A1032" s="6"/>
      <c r="B1032" s="6"/>
      <c r="C1032" s="6"/>
      <c r="D1032" s="10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spans="1:35" ht="12.75">
      <c r="A1033" s="6"/>
      <c r="B1033" s="6"/>
      <c r="C1033" s="6"/>
      <c r="D1033" s="10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spans="1:35" ht="12.75">
      <c r="A1034" s="6"/>
      <c r="B1034" s="6"/>
      <c r="C1034" s="6"/>
      <c r="D1034" s="10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spans="1:35" ht="12.75">
      <c r="A1035" s="6"/>
      <c r="B1035" s="6"/>
      <c r="C1035" s="6"/>
      <c r="D1035" s="10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spans="1:35" ht="12.75">
      <c r="A1036" s="6"/>
      <c r="B1036" s="6"/>
      <c r="C1036" s="6"/>
      <c r="D1036" s="10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  <row r="1037" spans="1:35" ht="12.75">
      <c r="A1037" s="6"/>
      <c r="B1037" s="6"/>
      <c r="C1037" s="6"/>
      <c r="D1037" s="10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</row>
    <row r="1038" spans="1:35" ht="12.75">
      <c r="A1038" s="6"/>
      <c r="B1038" s="6"/>
      <c r="C1038" s="6"/>
      <c r="D1038" s="10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</row>
    <row r="1039" spans="1:35" ht="12.75">
      <c r="A1039" s="6"/>
      <c r="B1039" s="6"/>
      <c r="C1039" s="6"/>
      <c r="D1039" s="10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</row>
    <row r="1040" spans="1:35" ht="12.75">
      <c r="A1040" s="6"/>
      <c r="B1040" s="6"/>
      <c r="C1040" s="6"/>
      <c r="D1040" s="10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</row>
    <row r="1041" spans="1:35" ht="12.75">
      <c r="A1041" s="6"/>
      <c r="B1041" s="6"/>
      <c r="C1041" s="6"/>
      <c r="D1041" s="10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</row>
    <row r="1042" spans="1:35" ht="12.75">
      <c r="A1042" s="6"/>
      <c r="B1042" s="6"/>
      <c r="C1042" s="6"/>
      <c r="D1042" s="10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</row>
    <row r="1043" spans="1:35" ht="12.75">
      <c r="A1043" s="6"/>
      <c r="B1043" s="6"/>
      <c r="C1043" s="6"/>
      <c r="D1043" s="10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</row>
    <row r="1044" spans="1:35" ht="12.75">
      <c r="A1044" s="6"/>
      <c r="B1044" s="6"/>
      <c r="C1044" s="6"/>
      <c r="D1044" s="10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</row>
    <row r="1045" spans="1:35" ht="12.75">
      <c r="A1045" s="6"/>
      <c r="B1045" s="6"/>
      <c r="C1045" s="6"/>
      <c r="D1045" s="10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</row>
    <row r="1046" spans="1:35" ht="12.75">
      <c r="A1046" s="6"/>
      <c r="B1046" s="6"/>
      <c r="C1046" s="6"/>
      <c r="D1046" s="10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</row>
    <row r="1047" spans="1:35" ht="12.75">
      <c r="A1047" s="6"/>
      <c r="B1047" s="6"/>
      <c r="C1047" s="6"/>
      <c r="D1047" s="10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</row>
    <row r="1048" spans="1:35" ht="12.75">
      <c r="A1048" s="6"/>
      <c r="B1048" s="6"/>
      <c r="C1048" s="6"/>
      <c r="D1048" s="10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</row>
    <row r="1049" spans="1:35" ht="12.75">
      <c r="A1049" s="6"/>
      <c r="B1049" s="6"/>
      <c r="C1049" s="6"/>
      <c r="D1049" s="10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</row>
    <row r="1050" spans="1:35" ht="12.75">
      <c r="A1050" s="6"/>
      <c r="B1050" s="6"/>
      <c r="C1050" s="6"/>
      <c r="D1050" s="10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</row>
    <row r="1051" spans="1:35" ht="12.75">
      <c r="A1051" s="6"/>
      <c r="B1051" s="6"/>
      <c r="C1051" s="6"/>
      <c r="D1051" s="10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</row>
    <row r="1052" spans="1:35" ht="12.75">
      <c r="A1052" s="6"/>
      <c r="B1052" s="6"/>
      <c r="C1052" s="6"/>
      <c r="D1052" s="10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</row>
    <row r="1053" spans="1:35" ht="12.75">
      <c r="A1053" s="6"/>
      <c r="B1053" s="6"/>
      <c r="C1053" s="6"/>
      <c r="D1053" s="10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</row>
    <row r="1054" spans="1:35" ht="12.75">
      <c r="A1054" s="6"/>
      <c r="B1054" s="6"/>
      <c r="C1054" s="6"/>
      <c r="D1054" s="10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</row>
    <row r="1055" spans="1:35" ht="12.75">
      <c r="A1055" s="6"/>
      <c r="B1055" s="6"/>
      <c r="C1055" s="6"/>
      <c r="D1055" s="10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</row>
    <row r="1056" spans="1:35" ht="12.75">
      <c r="A1056" s="6"/>
      <c r="B1056" s="6"/>
      <c r="C1056" s="6"/>
      <c r="D1056" s="10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</row>
    <row r="1057" spans="1:35" ht="12.75">
      <c r="A1057" s="6"/>
      <c r="B1057" s="6"/>
      <c r="C1057" s="6"/>
      <c r="D1057" s="10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</row>
    <row r="1058" spans="1:35" ht="12.75">
      <c r="A1058" s="6"/>
      <c r="B1058" s="6"/>
      <c r="C1058" s="6"/>
      <c r="D1058" s="10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</row>
    <row r="1059" spans="1:35" ht="12.75">
      <c r="A1059" s="6"/>
      <c r="B1059" s="6"/>
      <c r="C1059" s="6"/>
      <c r="D1059" s="10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</row>
    <row r="1060" spans="1:35" ht="12.75">
      <c r="A1060" s="6"/>
      <c r="B1060" s="6"/>
      <c r="C1060" s="6"/>
      <c r="D1060" s="10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</row>
    <row r="1061" spans="1:35" ht="12.75">
      <c r="A1061" s="6"/>
      <c r="B1061" s="6"/>
      <c r="C1061" s="6"/>
      <c r="D1061" s="10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</row>
    <row r="1062" spans="1:35" ht="12.75">
      <c r="A1062" s="6"/>
      <c r="B1062" s="6"/>
      <c r="C1062" s="6"/>
      <c r="D1062" s="10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</row>
    <row r="1063" spans="1:35" ht="12.75">
      <c r="A1063" s="6"/>
      <c r="B1063" s="6"/>
      <c r="C1063" s="6"/>
      <c r="D1063" s="10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</row>
    <row r="1064" spans="1:35" ht="12.75">
      <c r="A1064" s="6"/>
      <c r="B1064" s="6"/>
      <c r="C1064" s="6"/>
      <c r="D1064" s="10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</row>
    <row r="1065" spans="1:35" ht="12.75">
      <c r="A1065" s="6"/>
      <c r="B1065" s="6"/>
      <c r="C1065" s="6"/>
      <c r="D1065" s="10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</row>
    <row r="1066" spans="1:35" ht="12.75">
      <c r="A1066" s="6"/>
      <c r="B1066" s="6"/>
      <c r="C1066" s="6"/>
      <c r="D1066" s="10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</row>
    <row r="1067" spans="1:35" ht="12.75">
      <c r="A1067" s="6"/>
      <c r="B1067" s="6"/>
      <c r="C1067" s="6"/>
      <c r="D1067" s="10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</row>
    <row r="1068" spans="1:35" ht="12.75">
      <c r="A1068" s="6"/>
      <c r="B1068" s="6"/>
      <c r="C1068" s="6"/>
      <c r="D1068" s="10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</row>
    <row r="1069" spans="1:35" ht="12.75">
      <c r="A1069" s="6"/>
      <c r="B1069" s="6"/>
      <c r="C1069" s="6"/>
      <c r="D1069" s="10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</row>
    <row r="1070" spans="1:35" ht="12.75">
      <c r="A1070" s="6"/>
      <c r="B1070" s="6"/>
      <c r="C1070" s="6"/>
      <c r="D1070" s="10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</row>
    <row r="1071" spans="1:35" ht="12.75">
      <c r="A1071" s="6"/>
      <c r="B1071" s="6"/>
      <c r="C1071" s="6"/>
      <c r="D1071" s="10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</row>
    <row r="1072" spans="1:35" ht="12.75">
      <c r="A1072" s="6"/>
      <c r="B1072" s="6"/>
      <c r="C1072" s="6"/>
      <c r="D1072" s="10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</row>
    <row r="1073" spans="1:35" ht="12.75">
      <c r="A1073" s="6"/>
      <c r="B1073" s="6"/>
      <c r="C1073" s="6"/>
      <c r="D1073" s="10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</row>
    <row r="1074" spans="1:35" ht="12.75">
      <c r="A1074" s="6"/>
      <c r="B1074" s="6"/>
      <c r="C1074" s="6"/>
      <c r="D1074" s="10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</row>
    <row r="1075" spans="1:35" ht="12.75">
      <c r="A1075" s="6"/>
      <c r="B1075" s="6"/>
      <c r="C1075" s="6"/>
      <c r="D1075" s="10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</row>
    <row r="1076" spans="1:35" ht="12.75">
      <c r="A1076" s="6"/>
      <c r="B1076" s="6"/>
      <c r="C1076" s="6"/>
      <c r="D1076" s="10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</row>
    <row r="1077" spans="1:35" ht="12.75">
      <c r="A1077" s="6"/>
      <c r="B1077" s="6"/>
      <c r="C1077" s="6"/>
      <c r="D1077" s="10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</row>
    <row r="1078" spans="1:35" ht="12.75">
      <c r="A1078" s="6"/>
      <c r="B1078" s="6"/>
      <c r="C1078" s="6"/>
      <c r="D1078" s="10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</row>
    <row r="1079" spans="1:35" ht="12.75">
      <c r="A1079" s="6"/>
      <c r="B1079" s="6"/>
      <c r="C1079" s="6"/>
      <c r="D1079" s="10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</row>
    <row r="1080" spans="1:35" ht="12.75">
      <c r="A1080" s="6"/>
      <c r="B1080" s="6"/>
      <c r="C1080" s="6"/>
      <c r="D1080" s="10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</row>
    <row r="1081" spans="1:35" ht="12.75">
      <c r="A1081" s="6"/>
      <c r="B1081" s="6"/>
      <c r="C1081" s="6"/>
      <c r="D1081" s="10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</row>
    <row r="1082" spans="1:35" ht="12.75">
      <c r="A1082" s="6"/>
      <c r="B1082" s="6"/>
      <c r="C1082" s="6"/>
      <c r="D1082" s="10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</row>
    <row r="1083" spans="1:35" ht="12.75">
      <c r="A1083" s="6"/>
      <c r="B1083" s="6"/>
      <c r="C1083" s="6"/>
      <c r="D1083" s="10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</row>
    <row r="1084" spans="1:35" ht="12.75">
      <c r="A1084" s="6"/>
      <c r="B1084" s="6"/>
      <c r="C1084" s="6"/>
      <c r="D1084" s="10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</row>
    <row r="1085" spans="1:35" ht="12.75">
      <c r="A1085" s="6"/>
      <c r="B1085" s="6"/>
      <c r="C1085" s="6"/>
      <c r="D1085" s="10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</row>
    <row r="1086" spans="1:35" ht="12.75">
      <c r="A1086" s="6"/>
      <c r="B1086" s="6"/>
      <c r="C1086" s="6"/>
      <c r="D1086" s="10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</row>
    <row r="1087" spans="1:35" ht="12.75">
      <c r="A1087" s="6"/>
      <c r="B1087" s="6"/>
      <c r="C1087" s="6"/>
      <c r="D1087" s="10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</row>
    <row r="1088" spans="1:35" ht="12.75">
      <c r="A1088" s="6"/>
      <c r="B1088" s="6"/>
      <c r="C1088" s="6"/>
      <c r="D1088" s="10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</row>
    <row r="1089" spans="1:35" ht="12.75">
      <c r="A1089" s="6"/>
      <c r="B1089" s="6"/>
      <c r="C1089" s="6"/>
      <c r="D1089" s="10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</row>
    <row r="1090" spans="1:35" ht="12.75">
      <c r="A1090" s="6"/>
      <c r="B1090" s="6"/>
      <c r="C1090" s="6"/>
      <c r="D1090" s="10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</row>
    <row r="1091" spans="1:35" ht="12.75">
      <c r="A1091" s="6"/>
      <c r="B1091" s="6"/>
      <c r="C1091" s="6"/>
      <c r="D1091" s="10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</row>
    <row r="1092" spans="1:35" ht="12.75">
      <c r="A1092" s="6"/>
      <c r="B1092" s="6"/>
      <c r="C1092" s="6"/>
      <c r="D1092" s="10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</row>
    <row r="1093" spans="1:35" ht="12.75">
      <c r="A1093" s="6"/>
      <c r="B1093" s="6"/>
      <c r="C1093" s="6"/>
      <c r="D1093" s="10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</row>
    <row r="1094" spans="1:35" ht="12.75">
      <c r="A1094" s="6"/>
      <c r="B1094" s="6"/>
      <c r="C1094" s="6"/>
      <c r="D1094" s="10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</row>
    <row r="1095" spans="1:35" ht="12.75">
      <c r="A1095" s="6"/>
      <c r="B1095" s="6"/>
      <c r="C1095" s="6"/>
      <c r="D1095" s="10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</row>
    <row r="1096" spans="1:35" ht="12.75">
      <c r="A1096" s="6"/>
      <c r="B1096" s="6"/>
      <c r="C1096" s="6"/>
      <c r="D1096" s="10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</row>
    <row r="1097" spans="1:35" ht="12.75">
      <c r="A1097" s="6"/>
      <c r="B1097" s="6"/>
      <c r="C1097" s="6"/>
      <c r="D1097" s="10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</row>
    <row r="1098" spans="1:35" ht="12.75">
      <c r="A1098" s="6"/>
      <c r="B1098" s="6"/>
      <c r="C1098" s="6"/>
      <c r="D1098" s="10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</row>
    <row r="1099" spans="1:35" ht="12.75">
      <c r="A1099" s="6"/>
      <c r="B1099" s="6"/>
      <c r="C1099" s="6"/>
      <c r="D1099" s="10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</row>
    <row r="1100" spans="1:35" ht="12.75">
      <c r="A1100" s="6"/>
      <c r="B1100" s="6"/>
      <c r="C1100" s="6"/>
      <c r="D1100" s="10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</row>
    <row r="1101" spans="1:35" ht="12.75">
      <c r="A1101" s="6"/>
      <c r="B1101" s="6"/>
      <c r="C1101" s="6"/>
      <c r="D1101" s="10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</row>
    <row r="1102" spans="1:35" ht="12.75">
      <c r="A1102" s="6"/>
      <c r="B1102" s="6"/>
      <c r="C1102" s="6"/>
      <c r="D1102" s="10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</row>
    <row r="1103" spans="1:35" ht="12.75">
      <c r="A1103" s="6"/>
      <c r="B1103" s="6"/>
      <c r="C1103" s="6"/>
      <c r="D1103" s="10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</row>
    <row r="1104" spans="1:35" ht="12.75">
      <c r="A1104" s="6"/>
      <c r="B1104" s="6"/>
      <c r="C1104" s="6"/>
      <c r="D1104" s="10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</row>
    <row r="1105" spans="1:35" ht="12.75">
      <c r="A1105" s="6"/>
      <c r="B1105" s="6"/>
      <c r="C1105" s="6"/>
      <c r="D1105" s="10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</row>
    <row r="1106" spans="1:35" ht="12.75">
      <c r="A1106" s="6"/>
      <c r="B1106" s="6"/>
      <c r="C1106" s="6"/>
      <c r="D1106" s="10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</row>
    <row r="1107" spans="1:35" ht="12.75">
      <c r="A1107" s="6"/>
      <c r="B1107" s="6"/>
      <c r="C1107" s="6"/>
      <c r="D1107" s="10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</row>
    <row r="1108" spans="1:35" ht="12.75">
      <c r="A1108" s="6"/>
      <c r="B1108" s="6"/>
      <c r="C1108" s="6"/>
      <c r="D1108" s="10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</row>
    <row r="1109" spans="1:35" ht="12.75">
      <c r="A1109" s="6"/>
      <c r="B1109" s="6"/>
      <c r="C1109" s="6"/>
      <c r="D1109" s="10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</row>
    <row r="1110" spans="1:35" ht="12.75">
      <c r="A1110" s="6"/>
      <c r="B1110" s="6"/>
      <c r="C1110" s="6"/>
      <c r="D1110" s="10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</row>
    <row r="1111" spans="1:35" ht="12.75">
      <c r="A1111" s="6"/>
      <c r="B1111" s="6"/>
      <c r="C1111" s="6"/>
      <c r="D1111" s="10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</row>
    <row r="1112" spans="1:35" ht="12.75">
      <c r="A1112" s="6"/>
      <c r="B1112" s="6"/>
      <c r="C1112" s="6"/>
      <c r="D1112" s="10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</row>
    <row r="1113" spans="1:35" ht="12.75">
      <c r="A1113" s="6"/>
      <c r="B1113" s="6"/>
      <c r="C1113" s="6"/>
      <c r="D1113" s="10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</row>
    <row r="1114" spans="1:35" ht="12.75">
      <c r="A1114" s="6"/>
      <c r="B1114" s="6"/>
      <c r="C1114" s="6"/>
      <c r="D1114" s="10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</row>
    <row r="1115" spans="1:35" ht="12.75">
      <c r="A1115" s="6"/>
      <c r="B1115" s="6"/>
      <c r="C1115" s="6"/>
      <c r="D1115" s="10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</row>
    <row r="1116" spans="1:35" ht="12.75">
      <c r="A1116" s="6"/>
      <c r="B1116" s="6"/>
      <c r="C1116" s="6"/>
      <c r="D1116" s="10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</row>
    <row r="1117" spans="1:35" ht="12.75">
      <c r="A1117" s="6"/>
      <c r="B1117" s="6"/>
      <c r="C1117" s="6"/>
      <c r="D1117" s="10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</row>
    <row r="1118" spans="1:35" ht="12.75">
      <c r="A1118" s="6"/>
      <c r="B1118" s="6"/>
      <c r="C1118" s="6"/>
      <c r="D1118" s="10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</row>
    <row r="1119" spans="1:35" ht="12.75">
      <c r="A1119" s="6"/>
      <c r="B1119" s="6"/>
      <c r="C1119" s="6"/>
      <c r="D1119" s="10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</row>
    <row r="1120" spans="1:35" ht="12.75">
      <c r="A1120" s="6"/>
      <c r="B1120" s="6"/>
      <c r="C1120" s="6"/>
      <c r="D1120" s="10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</row>
    <row r="1121" spans="1:35" ht="12.75">
      <c r="A1121" s="6"/>
      <c r="B1121" s="6"/>
      <c r="C1121" s="6"/>
      <c r="D1121" s="10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</row>
    <row r="1122" spans="1:35" ht="12.75">
      <c r="A1122" s="6"/>
      <c r="B1122" s="6"/>
      <c r="C1122" s="6"/>
      <c r="D1122" s="10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</row>
    <row r="1123" spans="1:35" ht="12.75">
      <c r="A1123" s="6"/>
      <c r="B1123" s="6"/>
      <c r="C1123" s="6"/>
      <c r="D1123" s="10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</row>
    <row r="1124" spans="1:35" ht="12.75">
      <c r="A1124" s="6"/>
      <c r="B1124" s="6"/>
      <c r="C1124" s="6"/>
      <c r="D1124" s="10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</row>
    <row r="1125" spans="1:35" ht="12.75">
      <c r="A1125" s="6"/>
      <c r="B1125" s="6"/>
      <c r="C1125" s="6"/>
      <c r="D1125" s="10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</row>
    <row r="1126" spans="1:35" ht="12.75">
      <c r="A1126" s="6"/>
      <c r="B1126" s="6"/>
      <c r="C1126" s="6"/>
      <c r="D1126" s="10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</row>
    <row r="1127" spans="1:35" ht="12.75">
      <c r="A1127" s="6"/>
      <c r="B1127" s="6"/>
      <c r="C1127" s="6"/>
      <c r="D1127" s="10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</row>
    <row r="1128" spans="1:35" ht="12.75">
      <c r="A1128" s="6"/>
      <c r="B1128" s="6"/>
      <c r="C1128" s="6"/>
      <c r="D1128" s="10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</row>
    <row r="1129" spans="1:35" ht="12.75">
      <c r="A1129" s="6"/>
      <c r="B1129" s="6"/>
      <c r="C1129" s="6"/>
      <c r="D1129" s="10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</row>
    <row r="1130" spans="1:35" ht="12.75">
      <c r="A1130" s="6"/>
      <c r="B1130" s="6"/>
      <c r="C1130" s="6"/>
      <c r="D1130" s="10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</row>
    <row r="1131" spans="1:35" ht="12.75">
      <c r="A1131" s="6"/>
      <c r="B1131" s="6"/>
      <c r="C1131" s="6"/>
      <c r="D1131" s="10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</row>
    <row r="1132" spans="1:35" ht="12.75">
      <c r="A1132" s="6"/>
      <c r="B1132" s="6"/>
      <c r="C1132" s="6"/>
      <c r="D1132" s="10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</row>
    <row r="1133" spans="1:35" ht="12.75">
      <c r="A1133" s="6"/>
      <c r="B1133" s="6"/>
      <c r="C1133" s="6"/>
      <c r="D1133" s="10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</row>
    <row r="1134" spans="1:35" ht="12.75">
      <c r="A1134" s="6"/>
      <c r="B1134" s="6"/>
      <c r="C1134" s="6"/>
      <c r="D1134" s="10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</row>
    <row r="1135" spans="1:35" ht="12.75">
      <c r="A1135" s="6"/>
      <c r="B1135" s="6"/>
      <c r="C1135" s="6"/>
      <c r="D1135" s="10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</row>
    <row r="1136" spans="1:35" ht="12.75">
      <c r="A1136" s="6"/>
      <c r="B1136" s="6"/>
      <c r="C1136" s="6"/>
      <c r="D1136" s="10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</row>
    <row r="1137" spans="1:35" ht="12.75">
      <c r="A1137" s="6"/>
      <c r="B1137" s="6"/>
      <c r="C1137" s="6"/>
      <c r="D1137" s="10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</row>
    <row r="1138" spans="1:35" ht="12.75">
      <c r="A1138" s="6"/>
      <c r="B1138" s="6"/>
      <c r="C1138" s="6"/>
      <c r="D1138" s="10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</row>
    <row r="1139" spans="1:35" ht="12.75">
      <c r="A1139" s="6"/>
      <c r="B1139" s="6"/>
      <c r="C1139" s="6"/>
      <c r="D1139" s="10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</row>
    <row r="1140" spans="1:35" ht="12.75">
      <c r="A1140" s="6"/>
      <c r="B1140" s="6"/>
      <c r="C1140" s="6"/>
      <c r="D1140" s="10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</row>
    <row r="1141" spans="1:35" ht="12.75">
      <c r="A1141" s="6"/>
      <c r="B1141" s="6"/>
      <c r="C1141" s="6"/>
      <c r="D1141" s="10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</row>
    <row r="1142" spans="1:35" ht="12.75">
      <c r="A1142" s="6"/>
      <c r="B1142" s="6"/>
      <c r="C1142" s="6"/>
      <c r="D1142" s="10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</row>
    <row r="1143" spans="1:35" ht="12.75">
      <c r="A1143" s="6"/>
      <c r="B1143" s="6"/>
      <c r="C1143" s="6"/>
      <c r="D1143" s="10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</row>
    <row r="1144" spans="1:35" ht="12.75">
      <c r="A1144" s="6"/>
      <c r="B1144" s="6"/>
      <c r="C1144" s="6"/>
      <c r="D1144" s="10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</row>
    <row r="1145" spans="1:35" ht="12.75">
      <c r="A1145" s="6"/>
      <c r="B1145" s="6"/>
      <c r="C1145" s="6"/>
      <c r="D1145" s="10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</row>
    <row r="1146" spans="1:35" ht="12.75">
      <c r="A1146" s="6"/>
      <c r="B1146" s="6"/>
      <c r="C1146" s="6"/>
      <c r="D1146" s="10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</row>
    <row r="1147" spans="1:35" ht="12.75">
      <c r="A1147" s="6"/>
      <c r="B1147" s="6"/>
      <c r="C1147" s="6"/>
      <c r="D1147" s="10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</row>
    <row r="1148" spans="1:35" ht="12.75">
      <c r="A1148" s="6"/>
      <c r="B1148" s="6"/>
      <c r="C1148" s="6"/>
      <c r="D1148" s="10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</row>
    <row r="1149" spans="1:35" ht="12.75">
      <c r="A1149" s="6"/>
      <c r="B1149" s="6"/>
      <c r="C1149" s="6"/>
      <c r="D1149" s="10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</row>
    <row r="1150" spans="1:35" ht="12.75">
      <c r="A1150" s="6"/>
      <c r="B1150" s="6"/>
      <c r="C1150" s="6"/>
      <c r="D1150" s="10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</row>
    <row r="1151" spans="1:35" ht="12.75">
      <c r="A1151" s="6"/>
      <c r="B1151" s="6"/>
      <c r="C1151" s="6"/>
      <c r="D1151" s="10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</row>
    <row r="1152" spans="1:35" ht="12.75">
      <c r="A1152" s="6"/>
      <c r="B1152" s="6"/>
      <c r="C1152" s="6"/>
      <c r="D1152" s="10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</row>
    <row r="1153" spans="1:35" ht="12.75">
      <c r="A1153" s="6"/>
      <c r="B1153" s="6"/>
      <c r="C1153" s="6"/>
      <c r="D1153" s="10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</row>
    <row r="1154" spans="1:35" ht="12.75">
      <c r="A1154" s="6"/>
      <c r="B1154" s="6"/>
      <c r="C1154" s="6"/>
      <c r="D1154" s="10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</row>
    <row r="1155" spans="1:35" ht="12.75">
      <c r="A1155" s="6"/>
      <c r="B1155" s="6"/>
      <c r="C1155" s="6"/>
      <c r="D1155" s="10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</row>
    <row r="1156" spans="1:35" ht="12.75">
      <c r="A1156" s="6"/>
      <c r="B1156" s="6"/>
      <c r="C1156" s="6"/>
      <c r="D1156" s="10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</row>
    <row r="1157" spans="1:35" ht="12.75">
      <c r="A1157" s="6"/>
      <c r="B1157" s="6"/>
      <c r="C1157" s="6"/>
      <c r="D1157" s="10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</row>
    <row r="1158" spans="1:35" ht="12.75">
      <c r="A1158" s="6"/>
      <c r="B1158" s="6"/>
      <c r="C1158" s="6"/>
      <c r="D1158" s="10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</row>
    <row r="1159" spans="1:35" ht="12.75">
      <c r="A1159" s="6"/>
      <c r="B1159" s="6"/>
      <c r="C1159" s="6"/>
      <c r="D1159" s="10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</row>
    <row r="1160" spans="1:35" ht="12.75">
      <c r="A1160" s="6"/>
      <c r="B1160" s="6"/>
      <c r="C1160" s="6"/>
      <c r="D1160" s="10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</row>
    <row r="1161" spans="1:35" ht="12.75">
      <c r="A1161" s="6"/>
      <c r="B1161" s="6"/>
      <c r="C1161" s="6"/>
      <c r="D1161" s="10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</row>
    <row r="1162" spans="1:35" ht="12.75">
      <c r="A1162" s="6"/>
      <c r="B1162" s="6"/>
      <c r="C1162" s="6"/>
      <c r="D1162" s="10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</row>
    <row r="1163" spans="1:35" ht="12.75">
      <c r="A1163" s="6"/>
      <c r="B1163" s="6"/>
      <c r="C1163" s="6"/>
      <c r="D1163" s="10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</row>
    <row r="1164" spans="1:35" ht="12.75">
      <c r="A1164" s="6"/>
      <c r="B1164" s="6"/>
      <c r="C1164" s="6"/>
      <c r="D1164" s="10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</row>
    <row r="1165" spans="1:35" ht="12.75">
      <c r="A1165" s="6"/>
      <c r="B1165" s="6"/>
      <c r="C1165" s="6"/>
      <c r="D1165" s="10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</row>
    <row r="1166" spans="1:35" ht="12.75">
      <c r="A1166" s="6"/>
      <c r="B1166" s="6"/>
      <c r="C1166" s="6"/>
      <c r="D1166" s="10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</row>
    <row r="1167" spans="1:35" ht="12.75">
      <c r="A1167" s="6"/>
      <c r="B1167" s="6"/>
      <c r="C1167" s="6"/>
      <c r="D1167" s="10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</row>
    <row r="1168" spans="1:35" ht="12.75">
      <c r="A1168" s="6"/>
      <c r="B1168" s="6"/>
      <c r="C1168" s="6"/>
      <c r="D1168" s="10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</row>
    <row r="1169" spans="1:35" ht="12.75">
      <c r="A1169" s="6"/>
      <c r="B1169" s="6"/>
      <c r="C1169" s="6"/>
      <c r="D1169" s="10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</row>
    <row r="1170" spans="1:35" ht="12.75">
      <c r="A1170" s="6"/>
      <c r="B1170" s="6"/>
      <c r="C1170" s="6"/>
      <c r="D1170" s="10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</row>
    <row r="1171" spans="1:35" ht="12.75">
      <c r="A1171" s="6"/>
      <c r="B1171" s="6"/>
      <c r="C1171" s="6"/>
      <c r="D1171" s="10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</row>
    <row r="1172" spans="1:35" ht="12.75">
      <c r="A1172" s="6"/>
      <c r="B1172" s="6"/>
      <c r="C1172" s="6"/>
      <c r="D1172" s="10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</row>
    <row r="1173" spans="1:35" ht="12.75">
      <c r="A1173" s="6"/>
      <c r="B1173" s="6"/>
      <c r="C1173" s="6"/>
      <c r="D1173" s="10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</row>
    <row r="1174" spans="1:35" ht="12.75">
      <c r="A1174" s="6"/>
      <c r="B1174" s="6"/>
      <c r="C1174" s="6"/>
      <c r="D1174" s="10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</row>
    <row r="1175" spans="1:35" ht="12.75">
      <c r="A1175" s="6"/>
      <c r="B1175" s="6"/>
      <c r="C1175" s="6"/>
      <c r="D1175" s="10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</row>
    <row r="1176" spans="1:35" ht="12.75">
      <c r="A1176" s="6"/>
      <c r="B1176" s="6"/>
      <c r="C1176" s="6"/>
      <c r="D1176" s="10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</row>
    <row r="1177" spans="1:35" ht="12.75">
      <c r="A1177" s="6"/>
      <c r="B1177" s="6"/>
      <c r="C1177" s="6"/>
      <c r="D1177" s="10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</row>
    <row r="1178" spans="1:35" ht="12.75">
      <c r="A1178" s="6"/>
      <c r="B1178" s="6"/>
      <c r="C1178" s="6"/>
      <c r="D1178" s="10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</row>
    <row r="1179" spans="1:35" ht="12.75">
      <c r="A1179" s="6"/>
      <c r="B1179" s="6"/>
      <c r="C1179" s="6"/>
      <c r="D1179" s="10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</row>
    <row r="1180" spans="1:35" ht="12.75">
      <c r="A1180" s="6"/>
      <c r="B1180" s="6"/>
      <c r="C1180" s="6"/>
      <c r="D1180" s="10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</row>
    <row r="1181" spans="1:35" ht="12.75">
      <c r="A1181" s="6"/>
      <c r="B1181" s="6"/>
      <c r="C1181" s="6"/>
      <c r="D1181" s="10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</row>
    <row r="1182" spans="1:35" ht="12.75">
      <c r="A1182" s="6"/>
      <c r="B1182" s="6"/>
      <c r="C1182" s="6"/>
      <c r="D1182" s="10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</row>
    <row r="1183" spans="1:35" ht="12.75">
      <c r="A1183" s="6"/>
      <c r="B1183" s="6"/>
      <c r="C1183" s="6"/>
      <c r="D1183" s="10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</row>
    <row r="1184" spans="1:35" ht="12.75">
      <c r="A1184" s="6"/>
      <c r="B1184" s="6"/>
      <c r="C1184" s="6"/>
      <c r="D1184" s="10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</row>
    <row r="1185" spans="1:35" ht="12.75">
      <c r="A1185" s="6"/>
      <c r="B1185" s="6"/>
      <c r="C1185" s="6"/>
      <c r="D1185" s="10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</row>
    <row r="1186" spans="1:35" ht="12.75">
      <c r="A1186" s="6"/>
      <c r="B1186" s="6"/>
      <c r="C1186" s="6"/>
      <c r="D1186" s="10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</row>
    <row r="1187" spans="1:35" ht="12.75">
      <c r="A1187" s="6"/>
      <c r="B1187" s="6"/>
      <c r="C1187" s="6"/>
      <c r="D1187" s="10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</row>
    <row r="1188" spans="1:35" ht="12.75">
      <c r="A1188" s="6"/>
      <c r="B1188" s="6"/>
      <c r="C1188" s="6"/>
      <c r="D1188" s="10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</row>
    <row r="1189" spans="1:35" ht="12.75">
      <c r="A1189" s="6"/>
      <c r="B1189" s="6"/>
      <c r="C1189" s="6"/>
      <c r="D1189" s="10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</row>
    <row r="1190" spans="1:35" ht="12.75">
      <c r="A1190" s="6"/>
      <c r="B1190" s="6"/>
      <c r="C1190" s="6"/>
      <c r="D1190" s="10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</row>
    <row r="1191" spans="1:35" ht="12.75">
      <c r="A1191" s="6"/>
      <c r="B1191" s="6"/>
      <c r="C1191" s="6"/>
      <c r="D1191" s="10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</row>
    <row r="1192" spans="1:35" ht="12.75">
      <c r="A1192" s="6"/>
      <c r="B1192" s="6"/>
      <c r="C1192" s="6"/>
      <c r="D1192" s="10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</row>
    <row r="1193" spans="1:35" ht="12.75">
      <c r="A1193" s="6"/>
      <c r="B1193" s="6"/>
      <c r="C1193" s="6"/>
      <c r="D1193" s="10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</row>
    <row r="1194" spans="1:35" ht="12.75">
      <c r="A1194" s="6"/>
      <c r="B1194" s="6"/>
      <c r="C1194" s="6"/>
      <c r="D1194" s="10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</row>
    <row r="1195" spans="1:35" ht="12.75">
      <c r="A1195" s="6"/>
      <c r="B1195" s="6"/>
      <c r="C1195" s="6"/>
      <c r="D1195" s="10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</row>
    <row r="1196" spans="1:35" ht="12.75">
      <c r="A1196" s="6"/>
      <c r="B1196" s="6"/>
      <c r="C1196" s="6"/>
      <c r="D1196" s="10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</row>
    <row r="1197" spans="1:35" ht="12.75">
      <c r="A1197" s="6"/>
      <c r="B1197" s="6"/>
      <c r="C1197" s="6"/>
      <c r="D1197" s="10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</row>
    <row r="1198" spans="1:35" ht="12.75">
      <c r="A1198" s="6"/>
      <c r="B1198" s="6"/>
      <c r="C1198" s="6"/>
      <c r="D1198" s="10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</row>
    <row r="1199" spans="1:35" ht="12.75">
      <c r="A1199" s="6"/>
      <c r="B1199" s="6"/>
      <c r="C1199" s="6"/>
      <c r="D1199" s="10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</row>
    <row r="1200" spans="1:35" ht="12.75">
      <c r="A1200" s="6"/>
      <c r="B1200" s="6"/>
      <c r="C1200" s="6"/>
      <c r="D1200" s="10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</row>
    <row r="1201" spans="1:35" ht="12.75">
      <c r="A1201" s="6"/>
      <c r="B1201" s="6"/>
      <c r="C1201" s="6"/>
      <c r="D1201" s="10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</row>
    <row r="1202" spans="1:35" ht="12.75">
      <c r="A1202" s="6"/>
      <c r="B1202" s="6"/>
      <c r="C1202" s="6"/>
      <c r="D1202" s="10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</row>
    <row r="1203" spans="1:35" ht="12.75">
      <c r="A1203" s="6"/>
      <c r="B1203" s="6"/>
      <c r="C1203" s="6"/>
      <c r="D1203" s="10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</row>
    <row r="1204" spans="1:35" ht="12.75">
      <c r="A1204" s="6"/>
      <c r="B1204" s="6"/>
      <c r="C1204" s="6"/>
      <c r="D1204" s="10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</row>
    <row r="1205" spans="1:35" ht="12.75">
      <c r="A1205" s="6"/>
      <c r="B1205" s="6"/>
      <c r="C1205" s="6"/>
      <c r="D1205" s="10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</row>
    <row r="1206" spans="1:35" ht="12.75">
      <c r="A1206" s="6"/>
      <c r="B1206" s="6"/>
      <c r="C1206" s="6"/>
      <c r="D1206" s="10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</row>
    <row r="1207" spans="1:35" ht="12.75">
      <c r="A1207" s="6"/>
      <c r="B1207" s="6"/>
      <c r="C1207" s="6"/>
      <c r="D1207" s="10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</row>
    <row r="1208" spans="1:35" ht="12.75">
      <c r="A1208" s="6"/>
      <c r="B1208" s="6"/>
      <c r="C1208" s="6"/>
      <c r="D1208" s="10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</row>
    <row r="1209" spans="1:35" ht="12.75">
      <c r="A1209" s="6"/>
      <c r="B1209" s="6"/>
      <c r="C1209" s="6"/>
      <c r="D1209" s="10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</row>
    <row r="1210" spans="1:35" ht="12.75">
      <c r="A1210" s="6"/>
      <c r="B1210" s="6"/>
      <c r="C1210" s="6"/>
      <c r="D1210" s="10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</row>
    <row r="1211" spans="1:35" ht="12.75">
      <c r="A1211" s="6"/>
      <c r="B1211" s="6"/>
      <c r="C1211" s="6"/>
      <c r="D1211" s="10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</row>
    <row r="1212" spans="1:35" ht="12.75">
      <c r="A1212" s="6"/>
      <c r="B1212" s="6"/>
      <c r="C1212" s="6"/>
      <c r="D1212" s="10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</row>
    <row r="1213" spans="1:35" ht="12.75">
      <c r="A1213" s="6"/>
      <c r="B1213" s="6"/>
      <c r="C1213" s="6"/>
      <c r="D1213" s="10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</row>
    <row r="1214" spans="1:35" ht="12.75">
      <c r="A1214" s="6"/>
      <c r="B1214" s="6"/>
      <c r="C1214" s="6"/>
      <c r="D1214" s="10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</row>
    <row r="1215" spans="1:35" ht="12.75">
      <c r="A1215" s="6"/>
      <c r="B1215" s="6"/>
      <c r="C1215" s="6"/>
      <c r="D1215" s="10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</row>
    <row r="1216" spans="1:35" ht="12.75">
      <c r="A1216" s="6"/>
      <c r="B1216" s="6"/>
      <c r="C1216" s="6"/>
      <c r="D1216" s="10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</row>
    <row r="1217" spans="1:35" ht="12.75">
      <c r="A1217" s="6"/>
      <c r="B1217" s="6"/>
      <c r="C1217" s="6"/>
      <c r="D1217" s="10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</row>
    <row r="1218" spans="1:35" ht="12.75">
      <c r="A1218" s="6"/>
      <c r="B1218" s="6"/>
      <c r="C1218" s="6"/>
      <c r="D1218" s="10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</row>
    <row r="1219" spans="1:35" ht="12.75">
      <c r="A1219" s="6"/>
      <c r="B1219" s="6"/>
      <c r="C1219" s="6"/>
      <c r="D1219" s="10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</row>
    <row r="1220" spans="1:35" ht="12.75">
      <c r="A1220" s="6"/>
      <c r="B1220" s="6"/>
      <c r="C1220" s="6"/>
      <c r="D1220" s="10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</row>
    <row r="1221" spans="1:35" ht="12.75">
      <c r="A1221" s="6"/>
      <c r="B1221" s="6"/>
      <c r="C1221" s="6"/>
      <c r="D1221" s="10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</row>
    <row r="1222" spans="1:35" ht="12.75">
      <c r="A1222" s="6"/>
      <c r="B1222" s="6"/>
      <c r="C1222" s="6"/>
      <c r="D1222" s="10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</row>
    <row r="1223" spans="1:35" ht="12.75">
      <c r="A1223" s="6"/>
      <c r="B1223" s="6"/>
      <c r="C1223" s="6"/>
      <c r="D1223" s="10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</row>
    <row r="1224" spans="1:35" ht="12.75">
      <c r="A1224" s="6"/>
      <c r="B1224" s="6"/>
      <c r="C1224" s="6"/>
      <c r="D1224" s="10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</row>
    <row r="1225" spans="1:35" ht="12.75">
      <c r="A1225" s="6"/>
      <c r="B1225" s="6"/>
      <c r="C1225" s="6"/>
      <c r="D1225" s="10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</row>
    <row r="1226" spans="1:35" ht="12.75">
      <c r="A1226" s="6"/>
      <c r="B1226" s="6"/>
      <c r="C1226" s="6"/>
      <c r="D1226" s="10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</row>
    <row r="1227" spans="1:35" ht="12.75">
      <c r="A1227" s="6"/>
      <c r="B1227" s="6"/>
      <c r="C1227" s="6"/>
      <c r="D1227" s="10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</row>
    <row r="1228" spans="1:35" ht="12.75">
      <c r="A1228" s="6"/>
      <c r="B1228" s="6"/>
      <c r="C1228" s="6"/>
      <c r="D1228" s="10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</row>
    <row r="1229" spans="1:35" ht="12.75">
      <c r="A1229" s="6"/>
      <c r="B1229" s="6"/>
      <c r="C1229" s="6"/>
      <c r="D1229" s="10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</row>
    <row r="1230" spans="1:35" ht="12.75">
      <c r="A1230" s="6"/>
      <c r="B1230" s="6"/>
      <c r="C1230" s="6"/>
      <c r="D1230" s="10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</row>
    <row r="1231" spans="1:35" ht="12.75">
      <c r="A1231" s="6"/>
      <c r="B1231" s="6"/>
      <c r="C1231" s="6"/>
      <c r="D1231" s="10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</row>
    <row r="1232" spans="1:35" ht="12.75">
      <c r="A1232" s="6"/>
      <c r="B1232" s="6"/>
      <c r="C1232" s="6"/>
      <c r="D1232" s="10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</row>
    <row r="1233" spans="1:35" ht="12.75">
      <c r="A1233" s="6"/>
      <c r="B1233" s="6"/>
      <c r="C1233" s="6"/>
      <c r="D1233" s="10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</row>
    <row r="1234" spans="1:35" ht="12.75">
      <c r="A1234" s="6"/>
      <c r="B1234" s="6"/>
      <c r="C1234" s="6"/>
      <c r="D1234" s="10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</row>
    <row r="1235" spans="1:35" ht="12.75">
      <c r="A1235" s="6"/>
      <c r="B1235" s="6"/>
      <c r="C1235" s="6"/>
      <c r="D1235" s="10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</row>
    <row r="1236" spans="1:35" ht="12.75">
      <c r="A1236" s="6"/>
      <c r="B1236" s="6"/>
      <c r="C1236" s="6"/>
      <c r="D1236" s="10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</row>
    <row r="1237" spans="1:35" ht="12.75">
      <c r="A1237" s="6"/>
      <c r="B1237" s="6"/>
      <c r="C1237" s="6"/>
      <c r="D1237" s="10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</row>
    <row r="1238" spans="1:35" ht="12.75">
      <c r="A1238" s="6"/>
      <c r="B1238" s="6"/>
      <c r="C1238" s="6"/>
      <c r="D1238" s="10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</row>
    <row r="1239" spans="1:35" ht="12.75">
      <c r="A1239" s="6"/>
      <c r="B1239" s="6"/>
      <c r="C1239" s="6"/>
      <c r="D1239" s="10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</row>
    <row r="1240" spans="1:35" ht="12.75">
      <c r="A1240" s="6"/>
      <c r="B1240" s="6"/>
      <c r="C1240" s="6"/>
      <c r="D1240" s="10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</row>
    <row r="1241" spans="1:35" ht="12.75">
      <c r="A1241" s="6"/>
      <c r="B1241" s="6"/>
      <c r="C1241" s="6"/>
      <c r="D1241" s="10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</row>
    <row r="1242" spans="1:35" ht="12.75">
      <c r="A1242" s="6"/>
      <c r="B1242" s="6"/>
      <c r="C1242" s="6"/>
      <c r="D1242" s="10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</row>
    <row r="1243" spans="1:35" ht="12.75">
      <c r="A1243" s="6"/>
      <c r="B1243" s="6"/>
      <c r="C1243" s="6"/>
      <c r="D1243" s="10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</row>
    <row r="1244" spans="1:35" ht="12.75">
      <c r="A1244" s="6"/>
      <c r="B1244" s="6"/>
      <c r="C1244" s="6"/>
      <c r="D1244" s="10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</row>
    <row r="1245" spans="1:35" ht="12.75">
      <c r="A1245" s="6"/>
      <c r="B1245" s="6"/>
      <c r="C1245" s="6"/>
      <c r="D1245" s="10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</row>
    <row r="1246" spans="1:35" ht="12.75">
      <c r="A1246" s="6"/>
      <c r="B1246" s="6"/>
      <c r="C1246" s="6"/>
      <c r="D1246" s="10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</row>
    <row r="1247" spans="1:35" ht="12.75">
      <c r="A1247" s="6"/>
      <c r="B1247" s="6"/>
      <c r="C1247" s="6"/>
      <c r="D1247" s="10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</row>
    <row r="1248" spans="1:35" ht="12.75">
      <c r="A1248" s="6"/>
      <c r="B1248" s="6"/>
      <c r="C1248" s="6"/>
      <c r="D1248" s="10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</row>
    <row r="1249" spans="1:35" ht="12.75">
      <c r="A1249" s="6"/>
      <c r="B1249" s="6"/>
      <c r="C1249" s="6"/>
      <c r="D1249" s="10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</row>
    <row r="1250" spans="1:35" ht="12.75">
      <c r="A1250" s="6"/>
      <c r="B1250" s="6"/>
      <c r="C1250" s="6"/>
      <c r="D1250" s="10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</row>
    <row r="1251" spans="1:35" ht="12.75">
      <c r="A1251" s="6"/>
      <c r="B1251" s="6"/>
      <c r="C1251" s="6"/>
      <c r="D1251" s="10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</row>
    <row r="1252" spans="1:35" ht="12.75">
      <c r="A1252" s="6"/>
      <c r="B1252" s="6"/>
      <c r="C1252" s="6"/>
      <c r="D1252" s="10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</row>
    <row r="1253" spans="1:35" ht="12.75">
      <c r="A1253" s="6"/>
      <c r="B1253" s="6"/>
      <c r="C1253" s="6"/>
      <c r="D1253" s="10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</row>
    <row r="1254" spans="1:35" ht="12.75">
      <c r="A1254" s="6"/>
      <c r="B1254" s="6"/>
      <c r="C1254" s="6"/>
      <c r="D1254" s="10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</row>
    <row r="1255" spans="1:35" ht="12.75">
      <c r="A1255" s="6"/>
      <c r="B1255" s="6"/>
      <c r="C1255" s="6"/>
      <c r="D1255" s="10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</row>
    <row r="1256" spans="1:35" ht="12.75">
      <c r="A1256" s="6"/>
      <c r="B1256" s="6"/>
      <c r="C1256" s="6"/>
      <c r="D1256" s="10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</row>
    <row r="1257" spans="1:35" ht="12.75">
      <c r="A1257" s="6"/>
      <c r="B1257" s="6"/>
      <c r="C1257" s="6"/>
      <c r="D1257" s="10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</row>
    <row r="1258" spans="1:35" ht="12.75">
      <c r="A1258" s="6"/>
      <c r="B1258" s="6"/>
      <c r="C1258" s="6"/>
      <c r="D1258" s="10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</row>
    <row r="1259" spans="1:35" ht="12.75">
      <c r="A1259" s="6"/>
      <c r="B1259" s="6"/>
      <c r="C1259" s="6"/>
      <c r="D1259" s="10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</row>
    <row r="1260" spans="1:35" ht="12.75">
      <c r="A1260" s="6"/>
      <c r="B1260" s="6"/>
      <c r="C1260" s="6"/>
      <c r="D1260" s="10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</row>
    <row r="1261" spans="1:35" ht="12.75">
      <c r="A1261" s="6"/>
      <c r="B1261" s="6"/>
      <c r="C1261" s="6"/>
      <c r="D1261" s="10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</row>
    <row r="1262" spans="1:35" ht="12.75">
      <c r="A1262" s="6"/>
      <c r="B1262" s="6"/>
      <c r="C1262" s="6"/>
      <c r="D1262" s="10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</row>
    <row r="1263" spans="1:35" ht="12.75">
      <c r="A1263" s="6"/>
      <c r="B1263" s="6"/>
      <c r="C1263" s="6"/>
      <c r="D1263" s="10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</row>
    <row r="1264" spans="1:35" ht="12.75">
      <c r="A1264" s="6"/>
      <c r="B1264" s="6"/>
      <c r="C1264" s="6"/>
      <c r="D1264" s="10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</row>
    <row r="1265" spans="1:35" ht="12.75">
      <c r="A1265" s="6"/>
      <c r="B1265" s="6"/>
      <c r="C1265" s="6"/>
      <c r="D1265" s="10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</row>
    <row r="1266" spans="1:35" ht="12.75">
      <c r="A1266" s="6"/>
      <c r="B1266" s="6"/>
      <c r="C1266" s="6"/>
      <c r="D1266" s="10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</row>
    <row r="1267" spans="1:35" ht="12.75">
      <c r="A1267" s="6"/>
      <c r="B1267" s="6"/>
      <c r="C1267" s="6"/>
      <c r="D1267" s="10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</row>
    <row r="1268" spans="1:35" ht="12.75">
      <c r="A1268" s="6"/>
      <c r="B1268" s="6"/>
      <c r="C1268" s="6"/>
      <c r="D1268" s="10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</row>
    <row r="1269" spans="1:35" ht="12.75">
      <c r="A1269" s="6"/>
      <c r="B1269" s="6"/>
      <c r="C1269" s="6"/>
      <c r="D1269" s="10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</row>
    <row r="1270" spans="1:35" ht="12.75">
      <c r="A1270" s="6"/>
      <c r="B1270" s="6"/>
      <c r="C1270" s="6"/>
      <c r="D1270" s="10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</row>
    <row r="1271" spans="1:35" ht="12.75">
      <c r="A1271" s="6"/>
      <c r="B1271" s="6"/>
      <c r="C1271" s="6"/>
      <c r="D1271" s="10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</row>
    <row r="1272" spans="1:35" ht="12.75">
      <c r="A1272" s="6"/>
      <c r="B1272" s="6"/>
      <c r="C1272" s="6"/>
      <c r="D1272" s="10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</row>
    <row r="1273" spans="1:35" ht="12.75">
      <c r="A1273" s="6"/>
      <c r="B1273" s="6"/>
      <c r="C1273" s="6"/>
      <c r="D1273" s="10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</row>
    <row r="1274" spans="1:35" ht="12.75">
      <c r="A1274" s="6"/>
      <c r="B1274" s="6"/>
      <c r="C1274" s="6"/>
      <c r="D1274" s="10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</row>
    <row r="1275" spans="1:35" ht="12.75">
      <c r="A1275" s="6"/>
      <c r="B1275" s="6"/>
      <c r="C1275" s="6"/>
      <c r="D1275" s="10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</row>
    <row r="1276" spans="1:35" ht="12.75">
      <c r="A1276" s="6"/>
      <c r="B1276" s="6"/>
      <c r="C1276" s="6"/>
      <c r="D1276" s="10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</row>
    <row r="1277" spans="1:35" ht="12.75">
      <c r="A1277" s="6"/>
      <c r="B1277" s="6"/>
      <c r="C1277" s="6"/>
      <c r="D1277" s="10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</row>
    <row r="1278" spans="1:35" ht="12.75">
      <c r="A1278" s="6"/>
      <c r="B1278" s="6"/>
      <c r="C1278" s="6"/>
      <c r="D1278" s="10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</row>
    <row r="1279" spans="1:35" ht="12.75">
      <c r="A1279" s="6"/>
      <c r="B1279" s="6"/>
      <c r="C1279" s="6"/>
      <c r="D1279" s="10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</row>
    <row r="1280" spans="1:35" ht="12.75">
      <c r="A1280" s="6"/>
      <c r="B1280" s="6"/>
      <c r="C1280" s="6"/>
      <c r="D1280" s="10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</row>
    <row r="1281" spans="1:35" ht="12.75">
      <c r="A1281" s="6"/>
      <c r="B1281" s="6"/>
      <c r="C1281" s="6"/>
      <c r="D1281" s="10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</row>
    <row r="1282" spans="1:35" ht="12.75">
      <c r="A1282" s="6"/>
      <c r="B1282" s="6"/>
      <c r="C1282" s="6"/>
      <c r="D1282" s="10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</row>
    <row r="1283" spans="1:35" ht="12.75">
      <c r="A1283" s="6"/>
      <c r="B1283" s="6"/>
      <c r="C1283" s="6"/>
      <c r="D1283" s="10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</row>
    <row r="1284" spans="1:35" ht="12.75">
      <c r="A1284" s="6"/>
      <c r="B1284" s="6"/>
      <c r="C1284" s="6"/>
      <c r="D1284" s="10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</row>
    <row r="1285" spans="1:35" ht="12.75">
      <c r="A1285" s="6"/>
      <c r="B1285" s="6"/>
      <c r="C1285" s="6"/>
      <c r="D1285" s="10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</row>
    <row r="1286" spans="1:35" ht="12.75">
      <c r="A1286" s="6"/>
      <c r="B1286" s="6"/>
      <c r="C1286" s="6"/>
      <c r="D1286" s="10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</row>
    <row r="1287" spans="1:35" ht="12.75">
      <c r="A1287" s="6"/>
      <c r="B1287" s="6"/>
      <c r="C1287" s="6"/>
      <c r="D1287" s="10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</row>
    <row r="1288" spans="1:35" ht="12.75">
      <c r="A1288" s="6"/>
      <c r="B1288" s="6"/>
      <c r="C1288" s="6"/>
      <c r="D1288" s="10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</row>
    <row r="1289" spans="1:35" ht="12.75">
      <c r="A1289" s="6"/>
      <c r="B1289" s="6"/>
      <c r="C1289" s="6"/>
      <c r="D1289" s="10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</row>
    <row r="1290" spans="1:35" ht="12.75">
      <c r="A1290" s="6"/>
      <c r="B1290" s="6"/>
      <c r="C1290" s="6"/>
      <c r="D1290" s="10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</row>
    <row r="1291" spans="1:35" ht="12.75">
      <c r="A1291" s="6"/>
      <c r="B1291" s="6"/>
      <c r="C1291" s="6"/>
      <c r="D1291" s="10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</row>
    <row r="1292" spans="1:35" ht="12.75">
      <c r="A1292" s="6"/>
      <c r="B1292" s="6"/>
      <c r="C1292" s="6"/>
      <c r="D1292" s="10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</row>
    <row r="1293" spans="1:35" ht="12.75">
      <c r="A1293" s="6"/>
      <c r="B1293" s="6"/>
      <c r="C1293" s="6"/>
      <c r="D1293" s="10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</row>
    <row r="1294" spans="1:35" ht="12.75">
      <c r="A1294" s="6"/>
      <c r="B1294" s="6"/>
      <c r="C1294" s="6"/>
      <c r="D1294" s="10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</row>
    <row r="1295" spans="1:35" ht="12.75">
      <c r="A1295" s="6"/>
      <c r="B1295" s="6"/>
      <c r="C1295" s="6"/>
      <c r="D1295" s="10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</row>
    <row r="1296" spans="1:35" ht="12.75">
      <c r="A1296" s="6"/>
      <c r="B1296" s="6"/>
      <c r="C1296" s="6"/>
      <c r="D1296" s="10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</row>
    <row r="1297" spans="1:35" ht="12.75">
      <c r="A1297" s="6"/>
      <c r="B1297" s="6"/>
      <c r="C1297" s="6"/>
      <c r="D1297" s="10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</row>
    <row r="1298" spans="1:35" ht="12.75">
      <c r="A1298" s="6"/>
      <c r="B1298" s="6"/>
      <c r="C1298" s="6"/>
      <c r="D1298" s="10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</row>
    <row r="1299" spans="1:35" ht="12.75">
      <c r="A1299" s="6"/>
      <c r="B1299" s="6"/>
      <c r="C1299" s="6"/>
      <c r="D1299" s="10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 t="str">
        <f ca="1">IFERROR(__xludf.DUMMYFUNCTION("""COMPUTED_VALUE"""),"#N/A")</f>
        <v>#N/A</v>
      </c>
    </row>
    <row r="1300" spans="1:35" ht="12.75">
      <c r="A1300" s="6"/>
      <c r="B1300" s="6"/>
      <c r="C1300" s="6"/>
      <c r="D1300" s="10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 t="str">
        <f ca="1">IFERROR(__xludf.DUMMYFUNCTION("""COMPUTED_VALUE"""),"#N/A")</f>
        <v>#N/A</v>
      </c>
    </row>
    <row r="1301" spans="1:35" ht="12.75">
      <c r="A1301" s="6"/>
      <c r="B1301" s="6"/>
      <c r="C1301" s="6"/>
      <c r="D1301" s="10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 t="str">
        <f ca="1">IFERROR(__xludf.DUMMYFUNCTION("""COMPUTED_VALUE"""),"#N/A")</f>
        <v>#N/A</v>
      </c>
    </row>
    <row r="1302" spans="1:35" ht="12.75">
      <c r="A1302" s="6"/>
      <c r="B1302" s="6"/>
      <c r="C1302" s="6"/>
      <c r="D1302" s="10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 t="str">
        <f ca="1">IFERROR(__xludf.DUMMYFUNCTION("""COMPUTED_VALUE"""),"#N/A")</f>
        <v>#N/A</v>
      </c>
    </row>
    <row r="1303" spans="1:35" ht="12.75">
      <c r="A1303" s="6"/>
      <c r="B1303" s="6"/>
      <c r="C1303" s="6"/>
      <c r="D1303" s="10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 t="str">
        <f ca="1">IFERROR(__xludf.DUMMYFUNCTION("""COMPUTED_VALUE"""),"#N/A")</f>
        <v>#N/A</v>
      </c>
    </row>
    <row r="1304" spans="1:35" ht="12.75">
      <c r="A1304" s="6"/>
      <c r="B1304" s="6"/>
      <c r="C1304" s="6"/>
      <c r="D1304" s="10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 t="str">
        <f ca="1">IFERROR(__xludf.DUMMYFUNCTION("""COMPUTED_VALUE"""),"#N/A")</f>
        <v>#N/A</v>
      </c>
    </row>
    <row r="1305" spans="1:35" ht="12.75">
      <c r="A1305" s="6"/>
      <c r="B1305" s="6"/>
      <c r="C1305" s="6"/>
      <c r="D1305" s="10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 t="str">
        <f ca="1">IFERROR(__xludf.DUMMYFUNCTION("""COMPUTED_VALUE"""),"#N/A")</f>
        <v>#N/A</v>
      </c>
    </row>
    <row r="1306" spans="1:35" ht="12.75">
      <c r="A1306" s="6"/>
      <c r="B1306" s="6"/>
      <c r="C1306" s="6"/>
      <c r="D1306" s="10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 t="str">
        <f ca="1">IFERROR(__xludf.DUMMYFUNCTION("""COMPUTED_VALUE"""),"#N/A")</f>
        <v>#N/A</v>
      </c>
    </row>
    <row r="1307" spans="1:35" ht="12.75">
      <c r="A1307" s="6"/>
      <c r="B1307" s="6"/>
      <c r="C1307" s="6"/>
      <c r="D1307" s="10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 t="str">
        <f ca="1">IFERROR(__xludf.DUMMYFUNCTION("""COMPUTED_VALUE"""),"#N/A")</f>
        <v>#N/A</v>
      </c>
    </row>
    <row r="1308" spans="1:35" ht="12.75">
      <c r="A1308" s="6"/>
      <c r="B1308" s="6"/>
      <c r="C1308" s="6"/>
      <c r="D1308" s="10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 t="str">
        <f ca="1">IFERROR(__xludf.DUMMYFUNCTION("""COMPUTED_VALUE"""),"#N/A")</f>
        <v>#N/A</v>
      </c>
    </row>
    <row r="1309" spans="1:35" ht="12.75">
      <c r="A1309" s="6"/>
      <c r="B1309" s="6"/>
      <c r="C1309" s="6"/>
      <c r="D1309" s="10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 t="str">
        <f ca="1">IFERROR(__xludf.DUMMYFUNCTION("""COMPUTED_VALUE"""),"#N/A")</f>
        <v>#N/A</v>
      </c>
    </row>
    <row r="1310" spans="1:35" ht="12.75">
      <c r="A1310" s="6"/>
      <c r="B1310" s="6"/>
      <c r="C1310" s="6"/>
      <c r="D1310" s="10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 t="str">
        <f ca="1">IFERROR(__xludf.DUMMYFUNCTION("""COMPUTED_VALUE"""),"#N/A")</f>
        <v>#N/A</v>
      </c>
    </row>
    <row r="1311" spans="1:35" ht="12.75">
      <c r="A1311" s="6"/>
      <c r="B1311" s="6"/>
      <c r="C1311" s="6"/>
      <c r="D1311" s="10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 t="str">
        <f ca="1">IFERROR(__xludf.DUMMYFUNCTION("""COMPUTED_VALUE"""),"#N/A")</f>
        <v>#N/A</v>
      </c>
    </row>
    <row r="1312" spans="1:35" ht="12.75">
      <c r="A1312" s="6"/>
      <c r="B1312" s="6"/>
      <c r="C1312" s="6"/>
      <c r="D1312" s="10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 t="str">
        <f ca="1">IFERROR(__xludf.DUMMYFUNCTION("""COMPUTED_VALUE"""),"#N/A")</f>
        <v>#N/A</v>
      </c>
    </row>
    <row r="1313" spans="1:35" ht="12.75">
      <c r="A1313" s="6"/>
      <c r="B1313" s="6"/>
      <c r="C1313" s="6"/>
      <c r="D1313" s="10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 t="str">
        <f ca="1">IFERROR(__xludf.DUMMYFUNCTION("""COMPUTED_VALUE"""),"#N/A")</f>
        <v>#N/A</v>
      </c>
    </row>
    <row r="1314" spans="1:35" ht="12.75">
      <c r="A1314" s="6"/>
      <c r="B1314" s="6"/>
      <c r="C1314" s="6"/>
      <c r="D1314" s="10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 t="str">
        <f ca="1">IFERROR(__xludf.DUMMYFUNCTION("""COMPUTED_VALUE"""),"#N/A")</f>
        <v>#N/A</v>
      </c>
    </row>
    <row r="1315" spans="1:35" ht="12.75">
      <c r="A1315" s="6"/>
      <c r="B1315" s="6"/>
      <c r="C1315" s="6"/>
      <c r="D1315" s="10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 t="str">
        <f ca="1">IFERROR(__xludf.DUMMYFUNCTION("""COMPUTED_VALUE"""),"#N/A")</f>
        <v>#N/A</v>
      </c>
    </row>
    <row r="1316" spans="1:35" ht="12.75">
      <c r="A1316" s="6"/>
      <c r="B1316" s="6"/>
      <c r="C1316" s="6"/>
      <c r="D1316" s="10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 t="str">
        <f ca="1">IFERROR(__xludf.DUMMYFUNCTION("""COMPUTED_VALUE"""),"#N/A")</f>
        <v>#N/A</v>
      </c>
    </row>
    <row r="1317" spans="1:35" ht="12.75">
      <c r="A1317" s="6"/>
      <c r="B1317" s="6"/>
      <c r="C1317" s="6"/>
      <c r="D1317" s="10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 t="str">
        <f ca="1">IFERROR(__xludf.DUMMYFUNCTION("""COMPUTED_VALUE"""),"#N/A")</f>
        <v>#N/A</v>
      </c>
    </row>
    <row r="1318" spans="1:35" ht="12.75">
      <c r="A1318" s="6"/>
      <c r="B1318" s="6"/>
      <c r="C1318" s="6"/>
      <c r="D1318" s="10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 t="str">
        <f ca="1">IFERROR(__xludf.DUMMYFUNCTION("""COMPUTED_VALUE"""),"#N/A")</f>
        <v>#N/A</v>
      </c>
    </row>
    <row r="1319" spans="1:35" ht="12.75">
      <c r="A1319" s="6"/>
      <c r="B1319" s="6"/>
      <c r="C1319" s="6"/>
      <c r="D1319" s="10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 t="str">
        <f ca="1">IFERROR(__xludf.DUMMYFUNCTION("""COMPUTED_VALUE"""),"#N/A")</f>
        <v>#N/A</v>
      </c>
    </row>
    <row r="1320" spans="1:35" ht="12.75">
      <c r="A1320" s="6"/>
      <c r="B1320" s="6"/>
      <c r="C1320" s="6"/>
      <c r="D1320" s="10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 t="str">
        <f ca="1">IFERROR(__xludf.DUMMYFUNCTION("""COMPUTED_VALUE"""),"#N/A")</f>
        <v>#N/A</v>
      </c>
    </row>
    <row r="1321" spans="1:35" ht="12.75">
      <c r="A1321" s="6"/>
      <c r="B1321" s="6"/>
      <c r="C1321" s="6"/>
      <c r="D1321" s="10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 t="str">
        <f ca="1">IFERROR(__xludf.DUMMYFUNCTION("""COMPUTED_VALUE"""),"#N/A")</f>
        <v>#N/A</v>
      </c>
    </row>
    <row r="1322" spans="1:35" ht="12.75">
      <c r="A1322" s="6"/>
      <c r="B1322" s="6"/>
      <c r="C1322" s="6"/>
      <c r="D1322" s="10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 t="str">
        <f ca="1">IFERROR(__xludf.DUMMYFUNCTION("""COMPUTED_VALUE"""),"#N/A")</f>
        <v>#N/A</v>
      </c>
    </row>
    <row r="1323" spans="1:35" ht="12.75">
      <c r="A1323" s="6"/>
      <c r="B1323" s="6"/>
      <c r="C1323" s="6"/>
      <c r="D1323" s="10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 t="str">
        <f ca="1">IFERROR(__xludf.DUMMYFUNCTION("""COMPUTED_VALUE"""),"#N/A")</f>
        <v>#N/A</v>
      </c>
    </row>
    <row r="1324" spans="1:35" ht="12.75">
      <c r="A1324" s="6"/>
      <c r="B1324" s="6"/>
      <c r="C1324" s="6"/>
      <c r="D1324" s="10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 t="str">
        <f ca="1">IFERROR(__xludf.DUMMYFUNCTION("""COMPUTED_VALUE"""),"#N/A")</f>
        <v>#N/A</v>
      </c>
    </row>
    <row r="1325" spans="1:35" ht="12.75">
      <c r="A1325" s="6"/>
      <c r="B1325" s="6"/>
      <c r="C1325" s="6"/>
      <c r="D1325" s="10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 t="str">
        <f ca="1">IFERROR(__xludf.DUMMYFUNCTION("""COMPUTED_VALUE"""),"#N/A")</f>
        <v>#N/A</v>
      </c>
    </row>
    <row r="1326" spans="1:35" ht="12.75">
      <c r="A1326" s="6"/>
      <c r="B1326" s="6"/>
      <c r="C1326" s="6"/>
      <c r="D1326" s="10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 t="str">
        <f ca="1">IFERROR(__xludf.DUMMYFUNCTION("""COMPUTED_VALUE"""),"#N/A")</f>
        <v>#N/A</v>
      </c>
    </row>
    <row r="1327" spans="1:35" ht="12.75">
      <c r="A1327" s="6"/>
      <c r="B1327" s="6"/>
      <c r="C1327" s="6"/>
      <c r="D1327" s="10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 t="str">
        <f ca="1">IFERROR(__xludf.DUMMYFUNCTION("""COMPUTED_VALUE"""),"#N/A")</f>
        <v>#N/A</v>
      </c>
    </row>
    <row r="1328" spans="1:35" ht="12.75">
      <c r="A1328" s="6"/>
      <c r="B1328" s="6"/>
      <c r="C1328" s="6"/>
      <c r="D1328" s="10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 t="str">
        <f ca="1">IFERROR(__xludf.DUMMYFUNCTION("""COMPUTED_VALUE"""),"#N/A")</f>
        <v>#N/A</v>
      </c>
    </row>
    <row r="1329" spans="1:35" ht="12.75">
      <c r="A1329" s="6"/>
      <c r="B1329" s="6"/>
      <c r="C1329" s="6"/>
      <c r="D1329" s="10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 t="str">
        <f ca="1">IFERROR(__xludf.DUMMYFUNCTION("""COMPUTED_VALUE"""),"#N/A")</f>
        <v>#N/A</v>
      </c>
    </row>
    <row r="1330" spans="1:35" ht="12.75">
      <c r="A1330" s="6"/>
      <c r="B1330" s="6"/>
      <c r="C1330" s="6"/>
      <c r="D1330" s="10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 t="str">
        <f ca="1">IFERROR(__xludf.DUMMYFUNCTION("""COMPUTED_VALUE"""),"#N/A")</f>
        <v>#N/A</v>
      </c>
    </row>
    <row r="1331" spans="1:35" ht="12.75">
      <c r="A1331" s="6"/>
      <c r="B1331" s="6"/>
      <c r="C1331" s="6"/>
      <c r="D1331" s="10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 t="str">
        <f ca="1">IFERROR(__xludf.DUMMYFUNCTION("""COMPUTED_VALUE"""),"#N/A")</f>
        <v>#N/A</v>
      </c>
    </row>
    <row r="1332" spans="1:35" ht="12.75">
      <c r="A1332" s="6"/>
      <c r="B1332" s="6"/>
      <c r="C1332" s="6"/>
      <c r="D1332" s="10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 t="str">
        <f ca="1">IFERROR(__xludf.DUMMYFUNCTION("""COMPUTED_VALUE"""),"#N/A")</f>
        <v>#N/A</v>
      </c>
    </row>
    <row r="1333" spans="1:35" ht="12.75">
      <c r="A1333" s="6"/>
      <c r="B1333" s="6"/>
      <c r="C1333" s="6"/>
      <c r="D1333" s="10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 t="str">
        <f ca="1">IFERROR(__xludf.DUMMYFUNCTION("""COMPUTED_VALUE"""),"#N/A")</f>
        <v>#N/A</v>
      </c>
    </row>
    <row r="1334" spans="1:35" ht="12.75">
      <c r="A1334" s="6"/>
      <c r="B1334" s="6"/>
      <c r="C1334" s="6"/>
      <c r="D1334" s="10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 t="str">
        <f ca="1">IFERROR(__xludf.DUMMYFUNCTION("""COMPUTED_VALUE"""),"#N/A")</f>
        <v>#N/A</v>
      </c>
    </row>
    <row r="1335" spans="1:35" ht="12.75">
      <c r="A1335" s="6"/>
      <c r="B1335" s="6"/>
      <c r="C1335" s="6"/>
      <c r="D1335" s="10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 t="str">
        <f ca="1">IFERROR(__xludf.DUMMYFUNCTION("""COMPUTED_VALUE"""),"#N/A")</f>
        <v>#N/A</v>
      </c>
    </row>
    <row r="1336" spans="1:35" ht="12.75">
      <c r="A1336" s="6"/>
      <c r="B1336" s="6"/>
      <c r="C1336" s="6"/>
      <c r="D1336" s="10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 t="str">
        <f ca="1">IFERROR(__xludf.DUMMYFUNCTION("""COMPUTED_VALUE"""),"#N/A")</f>
        <v>#N/A</v>
      </c>
    </row>
    <row r="1337" spans="1:35" ht="12.75">
      <c r="A1337" s="6"/>
      <c r="B1337" s="6"/>
      <c r="C1337" s="6"/>
      <c r="D1337" s="10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 t="str">
        <f ca="1">IFERROR(__xludf.DUMMYFUNCTION("""COMPUTED_VALUE"""),"#N/A")</f>
        <v>#N/A</v>
      </c>
    </row>
    <row r="1338" spans="1:35" ht="12.75">
      <c r="A1338" s="6"/>
      <c r="B1338" s="6"/>
      <c r="C1338" s="6"/>
      <c r="D1338" s="10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 t="str">
        <f ca="1">IFERROR(__xludf.DUMMYFUNCTION("""COMPUTED_VALUE"""),"#N/A")</f>
        <v>#N/A</v>
      </c>
    </row>
    <row r="1339" spans="1:35" ht="12.75">
      <c r="A1339" s="6"/>
      <c r="B1339" s="6"/>
      <c r="C1339" s="6"/>
      <c r="D1339" s="10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 t="str">
        <f ca="1">IFERROR(__xludf.DUMMYFUNCTION("""COMPUTED_VALUE"""),"#N/A")</f>
        <v>#N/A</v>
      </c>
    </row>
    <row r="1340" spans="1:35" ht="12.75">
      <c r="A1340" s="6"/>
      <c r="B1340" s="6"/>
      <c r="C1340" s="6"/>
      <c r="D1340" s="10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 t="str">
        <f ca="1">IFERROR(__xludf.DUMMYFUNCTION("""COMPUTED_VALUE"""),"#N/A")</f>
        <v>#N/A</v>
      </c>
    </row>
    <row r="1341" spans="1:35" ht="12.75">
      <c r="A1341" s="6"/>
      <c r="B1341" s="6"/>
      <c r="C1341" s="6"/>
      <c r="D1341" s="10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 t="str">
        <f ca="1">IFERROR(__xludf.DUMMYFUNCTION("""COMPUTED_VALUE"""),"#N/A")</f>
        <v>#N/A</v>
      </c>
    </row>
    <row r="1342" spans="1:35" ht="12.75">
      <c r="A1342" s="6"/>
      <c r="B1342" s="6"/>
      <c r="C1342" s="6"/>
      <c r="D1342" s="10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 t="str">
        <f ca="1">IFERROR(__xludf.DUMMYFUNCTION("""COMPUTED_VALUE"""),"#N/A")</f>
        <v>#N/A</v>
      </c>
    </row>
    <row r="1343" spans="1:35" ht="12.75">
      <c r="A1343" s="6"/>
      <c r="B1343" s="6"/>
      <c r="C1343" s="6"/>
      <c r="D1343" s="10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 t="str">
        <f ca="1">IFERROR(__xludf.DUMMYFUNCTION("""COMPUTED_VALUE"""),"#N/A")</f>
        <v>#N/A</v>
      </c>
    </row>
    <row r="1344" spans="1:35" ht="12.75">
      <c r="A1344" s="6"/>
      <c r="B1344" s="6"/>
      <c r="C1344" s="6"/>
      <c r="D1344" s="10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 t="str">
        <f ca="1">IFERROR(__xludf.DUMMYFUNCTION("""COMPUTED_VALUE"""),"#N/A")</f>
        <v>#N/A</v>
      </c>
    </row>
    <row r="1345" spans="1:35" ht="12.75">
      <c r="A1345" s="6"/>
      <c r="B1345" s="6"/>
      <c r="C1345" s="6"/>
      <c r="D1345" s="10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 t="str">
        <f ca="1">IFERROR(__xludf.DUMMYFUNCTION("""COMPUTED_VALUE"""),"#N/A")</f>
        <v>#N/A</v>
      </c>
    </row>
    <row r="1346" spans="1:35" ht="12.75">
      <c r="A1346" s="6"/>
      <c r="B1346" s="6"/>
      <c r="C1346" s="6"/>
      <c r="D1346" s="10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 t="str">
        <f ca="1">IFERROR(__xludf.DUMMYFUNCTION("""COMPUTED_VALUE"""),"#N/A")</f>
        <v>#N/A</v>
      </c>
    </row>
    <row r="1347" spans="1:35" ht="12.75">
      <c r="A1347" s="6"/>
      <c r="B1347" s="6"/>
      <c r="C1347" s="6"/>
      <c r="D1347" s="10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 t="str">
        <f ca="1">IFERROR(__xludf.DUMMYFUNCTION("""COMPUTED_VALUE"""),"#N/A")</f>
        <v>#N/A</v>
      </c>
    </row>
    <row r="1348" spans="1:35" ht="12.75">
      <c r="A1348" s="6"/>
      <c r="B1348" s="6"/>
      <c r="C1348" s="6"/>
      <c r="D1348" s="10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 t="str">
        <f ca="1">IFERROR(__xludf.DUMMYFUNCTION("""COMPUTED_VALUE"""),"#N/A")</f>
        <v>#N/A</v>
      </c>
    </row>
    <row r="1349" spans="1:35" ht="12.75">
      <c r="A1349" s="6"/>
      <c r="B1349" s="6"/>
      <c r="C1349" s="6"/>
      <c r="D1349" s="10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 t="str">
        <f ca="1">IFERROR(__xludf.DUMMYFUNCTION("""COMPUTED_VALUE"""),"#N/A")</f>
        <v>#N/A</v>
      </c>
    </row>
    <row r="1350" spans="1:35" ht="12.75">
      <c r="A1350" s="6"/>
      <c r="B1350" s="6"/>
      <c r="C1350" s="6"/>
      <c r="D1350" s="10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 t="str">
        <f ca="1">IFERROR(__xludf.DUMMYFUNCTION("""COMPUTED_VALUE"""),"#N/A")</f>
        <v>#N/A</v>
      </c>
    </row>
    <row r="1351" spans="1:35" ht="12.75">
      <c r="A1351" s="6"/>
      <c r="B1351" s="6"/>
      <c r="C1351" s="6"/>
      <c r="D1351" s="10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 t="str">
        <f ca="1">IFERROR(__xludf.DUMMYFUNCTION("""COMPUTED_VALUE"""),"#N/A")</f>
        <v>#N/A</v>
      </c>
    </row>
    <row r="1352" spans="1:35" ht="12.75">
      <c r="A1352" s="6"/>
      <c r="B1352" s="6"/>
      <c r="C1352" s="6"/>
      <c r="D1352" s="10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 t="str">
        <f ca="1">IFERROR(__xludf.DUMMYFUNCTION("""COMPUTED_VALUE"""),"#N/A")</f>
        <v>#N/A</v>
      </c>
    </row>
    <row r="1353" spans="1:35" ht="12.75">
      <c r="A1353" s="6"/>
      <c r="B1353" s="6"/>
      <c r="C1353" s="6"/>
      <c r="D1353" s="10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 t="str">
        <f ca="1">IFERROR(__xludf.DUMMYFUNCTION("""COMPUTED_VALUE"""),"#N/A")</f>
        <v>#N/A</v>
      </c>
    </row>
    <row r="1354" spans="1:35" ht="12.75">
      <c r="A1354" s="6"/>
      <c r="B1354" s="6"/>
      <c r="C1354" s="6"/>
      <c r="D1354" s="10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 t="str">
        <f ca="1">IFERROR(__xludf.DUMMYFUNCTION("""COMPUTED_VALUE"""),"#N/A")</f>
        <v>#N/A</v>
      </c>
    </row>
    <row r="1355" spans="1:35" ht="12.75">
      <c r="A1355" s="6"/>
      <c r="B1355" s="6"/>
      <c r="C1355" s="6"/>
      <c r="D1355" s="10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 t="str">
        <f ca="1">IFERROR(__xludf.DUMMYFUNCTION("""COMPUTED_VALUE"""),"#N/A")</f>
        <v>#N/A</v>
      </c>
    </row>
    <row r="1356" spans="1:35" ht="12.75">
      <c r="A1356" s="6"/>
      <c r="B1356" s="6"/>
      <c r="C1356" s="6"/>
      <c r="D1356" s="10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 t="str">
        <f ca="1">IFERROR(__xludf.DUMMYFUNCTION("""COMPUTED_VALUE"""),"#N/A")</f>
        <v>#N/A</v>
      </c>
    </row>
    <row r="1357" spans="1:35" ht="12.75">
      <c r="A1357" s="6"/>
      <c r="B1357" s="6"/>
      <c r="C1357" s="6"/>
      <c r="D1357" s="10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 t="str">
        <f ca="1">IFERROR(__xludf.DUMMYFUNCTION("""COMPUTED_VALUE"""),"#N/A")</f>
        <v>#N/A</v>
      </c>
    </row>
    <row r="1358" spans="1:35" ht="12.75">
      <c r="A1358" s="6"/>
      <c r="B1358" s="6"/>
      <c r="C1358" s="6"/>
      <c r="D1358" s="10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 t="str">
        <f ca="1">IFERROR(__xludf.DUMMYFUNCTION("""COMPUTED_VALUE"""),"#N/A")</f>
        <v>#N/A</v>
      </c>
    </row>
    <row r="1359" spans="1:35" ht="12.75">
      <c r="A1359" s="6"/>
      <c r="B1359" s="6"/>
      <c r="C1359" s="6"/>
      <c r="D1359" s="10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 t="str">
        <f ca="1">IFERROR(__xludf.DUMMYFUNCTION("""COMPUTED_VALUE"""),"#N/A")</f>
        <v>#N/A</v>
      </c>
    </row>
    <row r="1360" spans="1:35" ht="12.75">
      <c r="A1360" s="6"/>
      <c r="B1360" s="6"/>
      <c r="C1360" s="6"/>
      <c r="D1360" s="10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 t="str">
        <f ca="1">IFERROR(__xludf.DUMMYFUNCTION("""COMPUTED_VALUE"""),"#N/A")</f>
        <v>#N/A</v>
      </c>
    </row>
    <row r="1361" spans="1:35" ht="12.75">
      <c r="A1361" s="6"/>
      <c r="B1361" s="6"/>
      <c r="C1361" s="6"/>
      <c r="D1361" s="10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 t="str">
        <f ca="1">IFERROR(__xludf.DUMMYFUNCTION("""COMPUTED_VALUE"""),"#N/A")</f>
        <v>#N/A</v>
      </c>
    </row>
    <row r="1362" spans="1:35" ht="12.75">
      <c r="A1362" s="6"/>
      <c r="B1362" s="6"/>
      <c r="C1362" s="6"/>
      <c r="D1362" s="10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 t="str">
        <f ca="1">IFERROR(__xludf.DUMMYFUNCTION("""COMPUTED_VALUE"""),"#N/A")</f>
        <v>#N/A</v>
      </c>
    </row>
    <row r="1363" spans="1:35" ht="12.75">
      <c r="A1363" s="6"/>
      <c r="B1363" s="6"/>
      <c r="C1363" s="6"/>
      <c r="D1363" s="10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 t="str">
        <f ca="1">IFERROR(__xludf.DUMMYFUNCTION("""COMPUTED_VALUE"""),"#N/A")</f>
        <v>#N/A</v>
      </c>
    </row>
    <row r="1364" spans="1:35" ht="12.75">
      <c r="A1364" s="6"/>
      <c r="B1364" s="6"/>
      <c r="C1364" s="6"/>
      <c r="D1364" s="10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 t="str">
        <f ca="1">IFERROR(__xludf.DUMMYFUNCTION("""COMPUTED_VALUE"""),"#N/A")</f>
        <v>#N/A</v>
      </c>
    </row>
    <row r="1365" spans="1:35" ht="12.75">
      <c r="A1365" s="6"/>
      <c r="B1365" s="6"/>
      <c r="C1365" s="6"/>
      <c r="D1365" s="10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 t="str">
        <f ca="1">IFERROR(__xludf.DUMMYFUNCTION("""COMPUTED_VALUE"""),"#N/A")</f>
        <v>#N/A</v>
      </c>
    </row>
    <row r="1366" spans="1:35" ht="12.75">
      <c r="A1366" s="6"/>
      <c r="B1366" s="6"/>
      <c r="C1366" s="6"/>
      <c r="D1366" s="10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 t="str">
        <f ca="1">IFERROR(__xludf.DUMMYFUNCTION("""COMPUTED_VALUE"""),"#N/A")</f>
        <v>#N/A</v>
      </c>
    </row>
    <row r="1367" spans="1:35" ht="12.75">
      <c r="A1367" s="6"/>
      <c r="B1367" s="6"/>
      <c r="C1367" s="6"/>
      <c r="D1367" s="10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 t="str">
        <f ca="1">IFERROR(__xludf.DUMMYFUNCTION("""COMPUTED_VALUE"""),"#N/A")</f>
        <v>#N/A</v>
      </c>
    </row>
    <row r="1368" spans="1:35" ht="12.75">
      <c r="A1368" s="6"/>
      <c r="B1368" s="6"/>
      <c r="C1368" s="6"/>
      <c r="D1368" s="10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 t="str">
        <f ca="1">IFERROR(__xludf.DUMMYFUNCTION("""COMPUTED_VALUE"""),"#N/A")</f>
        <v>#N/A</v>
      </c>
    </row>
    <row r="1369" spans="1:35" ht="12.75">
      <c r="A1369" s="6"/>
      <c r="B1369" s="6"/>
      <c r="C1369" s="6"/>
      <c r="D1369" s="10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 t="str">
        <f ca="1">IFERROR(__xludf.DUMMYFUNCTION("""COMPUTED_VALUE"""),"#N/A")</f>
        <v>#N/A</v>
      </c>
    </row>
    <row r="1370" spans="1:35" ht="12.75">
      <c r="A1370" s="6"/>
      <c r="B1370" s="6"/>
      <c r="C1370" s="6"/>
      <c r="D1370" s="10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 t="str">
        <f ca="1">IFERROR(__xludf.DUMMYFUNCTION("""COMPUTED_VALUE"""),"#N/A")</f>
        <v>#N/A</v>
      </c>
    </row>
    <row r="1371" spans="1:35" ht="12.75">
      <c r="A1371" s="6"/>
      <c r="B1371" s="6"/>
      <c r="C1371" s="6"/>
      <c r="D1371" s="10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 t="str">
        <f ca="1">IFERROR(__xludf.DUMMYFUNCTION("""COMPUTED_VALUE"""),"#N/A")</f>
        <v>#N/A</v>
      </c>
    </row>
    <row r="1372" spans="1:35" ht="12.75">
      <c r="A1372" s="6"/>
      <c r="B1372" s="6"/>
      <c r="C1372" s="6"/>
      <c r="D1372" s="10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 t="str">
        <f ca="1">IFERROR(__xludf.DUMMYFUNCTION("""COMPUTED_VALUE"""),"#N/A")</f>
        <v>#N/A</v>
      </c>
    </row>
    <row r="1373" spans="1:35" ht="12.75">
      <c r="A1373" s="6"/>
      <c r="B1373" s="6"/>
      <c r="C1373" s="6"/>
      <c r="D1373" s="10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 t="str">
        <f ca="1">IFERROR(__xludf.DUMMYFUNCTION("""COMPUTED_VALUE"""),"#N/A")</f>
        <v>#N/A</v>
      </c>
    </row>
    <row r="1374" spans="1:35" ht="12.75">
      <c r="A1374" s="6"/>
      <c r="B1374" s="6"/>
      <c r="C1374" s="6"/>
      <c r="D1374" s="10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 t="str">
        <f ca="1">IFERROR(__xludf.DUMMYFUNCTION("""COMPUTED_VALUE"""),"#N/A")</f>
        <v>#N/A</v>
      </c>
    </row>
    <row r="1375" spans="1:35" ht="12.75">
      <c r="A1375" s="6"/>
      <c r="B1375" s="6"/>
      <c r="C1375" s="6"/>
      <c r="D1375" s="10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 t="str">
        <f ca="1">IFERROR(__xludf.DUMMYFUNCTION("""COMPUTED_VALUE"""),"#N/A")</f>
        <v>#N/A</v>
      </c>
    </row>
    <row r="1376" spans="1:35" ht="12.75">
      <c r="A1376" s="6"/>
      <c r="B1376" s="6"/>
      <c r="C1376" s="6"/>
      <c r="D1376" s="10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 t="str">
        <f ca="1">IFERROR(__xludf.DUMMYFUNCTION("""COMPUTED_VALUE"""),"#N/A")</f>
        <v>#N/A</v>
      </c>
    </row>
    <row r="1377" spans="1:35" ht="12.75">
      <c r="A1377" s="6"/>
      <c r="B1377" s="6"/>
      <c r="C1377" s="6"/>
      <c r="D1377" s="10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 t="str">
        <f ca="1">IFERROR(__xludf.DUMMYFUNCTION("""COMPUTED_VALUE"""),"#N/A")</f>
        <v>#N/A</v>
      </c>
    </row>
    <row r="1378" spans="1:35" ht="12.75">
      <c r="A1378" s="6"/>
      <c r="B1378" s="6"/>
      <c r="C1378" s="6"/>
      <c r="D1378" s="10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 t="str">
        <f ca="1">IFERROR(__xludf.DUMMYFUNCTION("""COMPUTED_VALUE"""),"#N/A")</f>
        <v>#N/A</v>
      </c>
    </row>
    <row r="1379" spans="1:35" ht="12.75">
      <c r="A1379" s="6"/>
      <c r="B1379" s="6"/>
      <c r="C1379" s="6"/>
      <c r="D1379" s="10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 t="str">
        <f ca="1">IFERROR(__xludf.DUMMYFUNCTION("""COMPUTED_VALUE"""),"#N/A")</f>
        <v>#N/A</v>
      </c>
    </row>
    <row r="1380" spans="1:35" ht="12.75">
      <c r="A1380" s="6"/>
      <c r="B1380" s="6"/>
      <c r="C1380" s="6"/>
      <c r="D1380" s="10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 t="str">
        <f ca="1">IFERROR(__xludf.DUMMYFUNCTION("""COMPUTED_VALUE"""),"#N/A")</f>
        <v>#N/A</v>
      </c>
    </row>
    <row r="1381" spans="1:35" ht="12.75">
      <c r="A1381" s="6"/>
      <c r="B1381" s="6"/>
      <c r="C1381" s="6"/>
      <c r="D1381" s="10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 t="str">
        <f ca="1">IFERROR(__xludf.DUMMYFUNCTION("""COMPUTED_VALUE"""),"#N/A")</f>
        <v>#N/A</v>
      </c>
    </row>
    <row r="1382" spans="1:35" ht="12.75">
      <c r="A1382" s="6"/>
      <c r="B1382" s="6"/>
      <c r="C1382" s="6"/>
      <c r="D1382" s="10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 t="str">
        <f ca="1">IFERROR(__xludf.DUMMYFUNCTION("""COMPUTED_VALUE"""),"#N/A")</f>
        <v>#N/A</v>
      </c>
    </row>
    <row r="1383" spans="1:35" ht="12.75">
      <c r="A1383" s="6"/>
      <c r="B1383" s="6"/>
      <c r="C1383" s="6"/>
      <c r="D1383" s="10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 t="str">
        <f ca="1">IFERROR(__xludf.DUMMYFUNCTION("""COMPUTED_VALUE"""),"#N/A")</f>
        <v>#N/A</v>
      </c>
    </row>
    <row r="1384" spans="1:35" ht="12.75">
      <c r="A1384" s="6"/>
      <c r="B1384" s="6"/>
      <c r="C1384" s="6"/>
      <c r="D1384" s="10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 t="str">
        <f ca="1">IFERROR(__xludf.DUMMYFUNCTION("""COMPUTED_VALUE"""),"#N/A")</f>
        <v>#N/A</v>
      </c>
    </row>
    <row r="1385" spans="1:35" ht="12.75">
      <c r="A1385" s="6"/>
      <c r="B1385" s="6"/>
      <c r="C1385" s="6"/>
      <c r="D1385" s="10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 t="str">
        <f ca="1">IFERROR(__xludf.DUMMYFUNCTION("""COMPUTED_VALUE"""),"#N/A")</f>
        <v>#N/A</v>
      </c>
    </row>
    <row r="1386" spans="1:35" ht="12.75">
      <c r="A1386" s="6"/>
      <c r="B1386" s="6"/>
      <c r="C1386" s="6"/>
      <c r="D1386" s="10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 t="str">
        <f ca="1">IFERROR(__xludf.DUMMYFUNCTION("""COMPUTED_VALUE"""),"#N/A")</f>
        <v>#N/A</v>
      </c>
    </row>
    <row r="1387" spans="1:35" ht="12.75">
      <c r="A1387" s="6"/>
      <c r="B1387" s="6"/>
      <c r="C1387" s="6"/>
      <c r="D1387" s="10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 t="str">
        <f ca="1">IFERROR(__xludf.DUMMYFUNCTION("""COMPUTED_VALUE"""),"#N/A")</f>
        <v>#N/A</v>
      </c>
    </row>
    <row r="1388" spans="1:35" ht="12.75">
      <c r="A1388" s="6"/>
      <c r="B1388" s="6"/>
      <c r="C1388" s="6"/>
      <c r="D1388" s="10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 t="str">
        <f ca="1">IFERROR(__xludf.DUMMYFUNCTION("""COMPUTED_VALUE"""),"#N/A")</f>
        <v>#N/A</v>
      </c>
    </row>
    <row r="1389" spans="1:35" ht="12.75">
      <c r="A1389" s="6"/>
      <c r="B1389" s="6"/>
      <c r="C1389" s="6"/>
      <c r="D1389" s="10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 t="str">
        <f ca="1">IFERROR(__xludf.DUMMYFUNCTION("""COMPUTED_VALUE"""),"#N/A")</f>
        <v>#N/A</v>
      </c>
    </row>
    <row r="1390" spans="1:35" ht="12.75">
      <c r="A1390" s="6"/>
      <c r="B1390" s="6"/>
      <c r="C1390" s="6"/>
      <c r="D1390" s="10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 t="str">
        <f ca="1">IFERROR(__xludf.DUMMYFUNCTION("""COMPUTED_VALUE"""),"#N/A")</f>
        <v>#N/A</v>
      </c>
    </row>
    <row r="1391" spans="1:35" ht="12.75">
      <c r="A1391" s="6"/>
      <c r="B1391" s="6"/>
      <c r="C1391" s="6"/>
      <c r="D1391" s="10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 t="str">
        <f ca="1">IFERROR(__xludf.DUMMYFUNCTION("""COMPUTED_VALUE"""),"#N/A")</f>
        <v>#N/A</v>
      </c>
    </row>
    <row r="1392" spans="1:35" ht="12.75">
      <c r="A1392" s="6"/>
      <c r="B1392" s="6"/>
      <c r="C1392" s="6"/>
      <c r="D1392" s="10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 t="str">
        <f ca="1">IFERROR(__xludf.DUMMYFUNCTION("""COMPUTED_VALUE"""),"#N/A")</f>
        <v>#N/A</v>
      </c>
    </row>
    <row r="1393" spans="1:35" ht="12.75">
      <c r="A1393" s="6"/>
      <c r="B1393" s="6"/>
      <c r="C1393" s="6"/>
      <c r="D1393" s="10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 t="str">
        <f ca="1">IFERROR(__xludf.DUMMYFUNCTION("""COMPUTED_VALUE"""),"#N/A")</f>
        <v>#N/A</v>
      </c>
    </row>
    <row r="1394" spans="1:35" ht="12.75">
      <c r="A1394" s="6"/>
      <c r="B1394" s="6"/>
      <c r="C1394" s="6"/>
      <c r="D1394" s="10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 t="str">
        <f ca="1">IFERROR(__xludf.DUMMYFUNCTION("""COMPUTED_VALUE"""),"#N/A")</f>
        <v>#N/A</v>
      </c>
    </row>
    <row r="1395" spans="1:35" ht="12.75">
      <c r="A1395" s="6"/>
      <c r="B1395" s="6"/>
      <c r="C1395" s="6"/>
      <c r="D1395" s="10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 t="str">
        <f ca="1">IFERROR(__xludf.DUMMYFUNCTION("""COMPUTED_VALUE"""),"#N/A")</f>
        <v>#N/A</v>
      </c>
    </row>
    <row r="1396" spans="1:35" ht="12.75">
      <c r="A1396" s="6"/>
      <c r="B1396" s="6"/>
      <c r="C1396" s="6"/>
      <c r="D1396" s="10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 t="str">
        <f ca="1">IFERROR(__xludf.DUMMYFUNCTION("""COMPUTED_VALUE"""),"#N/A")</f>
        <v>#N/A</v>
      </c>
    </row>
    <row r="1397" spans="1:35" ht="12.75">
      <c r="A1397" s="6"/>
      <c r="B1397" s="6"/>
      <c r="C1397" s="6"/>
      <c r="D1397" s="10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 t="str">
        <f ca="1">IFERROR(__xludf.DUMMYFUNCTION("""COMPUTED_VALUE"""),"#N/A")</f>
        <v>#N/A</v>
      </c>
    </row>
    <row r="1398" spans="1:35" ht="12.75">
      <c r="A1398" s="6"/>
      <c r="B1398" s="6"/>
      <c r="C1398" s="6"/>
      <c r="D1398" s="10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 t="str">
        <f ca="1">IFERROR(__xludf.DUMMYFUNCTION("""COMPUTED_VALUE"""),"#N/A")</f>
        <v>#N/A</v>
      </c>
    </row>
    <row r="1399" spans="1:35" ht="12.75">
      <c r="A1399" s="6"/>
      <c r="B1399" s="6"/>
      <c r="C1399" s="6"/>
      <c r="D1399" s="10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 t="str">
        <f ca="1">IFERROR(__xludf.DUMMYFUNCTION("""COMPUTED_VALUE"""),"#N/A")</f>
        <v>#N/A</v>
      </c>
    </row>
    <row r="1400" spans="1:35" ht="12.75">
      <c r="A1400" s="6"/>
      <c r="B1400" s="6"/>
      <c r="C1400" s="6"/>
      <c r="D1400" s="10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 t="str">
        <f ca="1">IFERROR(__xludf.DUMMYFUNCTION("""COMPUTED_VALUE"""),"#N/A")</f>
        <v>#N/A</v>
      </c>
    </row>
    <row r="1401" spans="1:35" ht="12.75">
      <c r="A1401" s="6"/>
      <c r="B1401" s="6"/>
      <c r="C1401" s="6"/>
      <c r="D1401" s="10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 t="str">
        <f ca="1">IFERROR(__xludf.DUMMYFUNCTION("""COMPUTED_VALUE"""),"#N/A")</f>
        <v>#N/A</v>
      </c>
    </row>
    <row r="1402" spans="1:35" ht="12.75">
      <c r="A1402" s="6"/>
      <c r="B1402" s="6"/>
      <c r="C1402" s="6"/>
      <c r="D1402" s="10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 t="str">
        <f ca="1">IFERROR(__xludf.DUMMYFUNCTION("""COMPUTED_VALUE"""),"#N/A")</f>
        <v>#N/A</v>
      </c>
    </row>
    <row r="1403" spans="1:35" ht="12.75">
      <c r="A1403" s="6"/>
      <c r="B1403" s="6"/>
      <c r="C1403" s="6"/>
      <c r="D1403" s="10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 t="str">
        <f ca="1">IFERROR(__xludf.DUMMYFUNCTION("""COMPUTED_VALUE"""),"#N/A")</f>
        <v>#N/A</v>
      </c>
    </row>
    <row r="1404" spans="1:35" ht="12.75">
      <c r="A1404" s="6"/>
      <c r="B1404" s="6"/>
      <c r="C1404" s="6"/>
      <c r="D1404" s="10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 t="str">
        <f ca="1">IFERROR(__xludf.DUMMYFUNCTION("""COMPUTED_VALUE"""),"#N/A")</f>
        <v>#N/A</v>
      </c>
    </row>
    <row r="1405" spans="1:35" ht="12.75">
      <c r="A1405" s="6"/>
      <c r="B1405" s="6"/>
      <c r="C1405" s="6"/>
      <c r="D1405" s="10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 t="str">
        <f ca="1">IFERROR(__xludf.DUMMYFUNCTION("""COMPUTED_VALUE"""),"#N/A")</f>
        <v>#N/A</v>
      </c>
    </row>
    <row r="1406" spans="1:35" ht="12.75">
      <c r="A1406" s="6"/>
      <c r="B1406" s="6"/>
      <c r="C1406" s="6"/>
      <c r="D1406" s="10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 t="str">
        <f ca="1">IFERROR(__xludf.DUMMYFUNCTION("""COMPUTED_VALUE"""),"#N/A")</f>
        <v>#N/A</v>
      </c>
    </row>
    <row r="1407" spans="1:35" ht="12.75">
      <c r="A1407" s="6"/>
      <c r="B1407" s="6"/>
      <c r="C1407" s="6"/>
      <c r="D1407" s="10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 t="str">
        <f ca="1">IFERROR(__xludf.DUMMYFUNCTION("""COMPUTED_VALUE"""),"#N/A")</f>
        <v>#N/A</v>
      </c>
    </row>
    <row r="1408" spans="1:35" ht="12.75">
      <c r="A1408" s="6"/>
      <c r="B1408" s="6"/>
      <c r="C1408" s="6"/>
      <c r="D1408" s="10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 t="str">
        <f ca="1">IFERROR(__xludf.DUMMYFUNCTION("""COMPUTED_VALUE"""),"#N/A")</f>
        <v>#N/A</v>
      </c>
    </row>
    <row r="1409" spans="1:35" ht="12.75">
      <c r="A1409" s="6"/>
      <c r="B1409" s="6"/>
      <c r="C1409" s="6"/>
      <c r="D1409" s="10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 t="str">
        <f ca="1">IFERROR(__xludf.DUMMYFUNCTION("""COMPUTED_VALUE"""),"#N/A")</f>
        <v>#N/A</v>
      </c>
    </row>
    <row r="1410" spans="1:35" ht="12.75">
      <c r="A1410" s="6"/>
      <c r="B1410" s="6"/>
      <c r="C1410" s="6"/>
      <c r="D1410" s="10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 t="str">
        <f ca="1">IFERROR(__xludf.DUMMYFUNCTION("""COMPUTED_VALUE"""),"#N/A")</f>
        <v>#N/A</v>
      </c>
    </row>
    <row r="1411" spans="1:35" ht="12.75">
      <c r="A1411" s="6"/>
      <c r="B1411" s="6"/>
      <c r="C1411" s="6"/>
      <c r="D1411" s="10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 t="str">
        <f ca="1">IFERROR(__xludf.DUMMYFUNCTION("""COMPUTED_VALUE"""),"#N/A")</f>
        <v>#N/A</v>
      </c>
    </row>
    <row r="1412" spans="1:35" ht="12.75">
      <c r="A1412" s="6"/>
      <c r="B1412" s="6"/>
      <c r="C1412" s="6"/>
      <c r="D1412" s="10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 t="str">
        <f ca="1">IFERROR(__xludf.DUMMYFUNCTION("""COMPUTED_VALUE"""),"#N/A")</f>
        <v>#N/A</v>
      </c>
    </row>
    <row r="1413" spans="1:35" ht="12.75">
      <c r="A1413" s="6"/>
      <c r="B1413" s="6"/>
      <c r="C1413" s="6"/>
      <c r="D1413" s="10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 t="str">
        <f ca="1">IFERROR(__xludf.DUMMYFUNCTION("""COMPUTED_VALUE"""),"#N/A")</f>
        <v>#N/A</v>
      </c>
    </row>
    <row r="1414" spans="1:35" ht="12.75">
      <c r="A1414" s="6"/>
      <c r="B1414" s="6"/>
      <c r="C1414" s="6"/>
      <c r="D1414" s="10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 t="str">
        <f ca="1">IFERROR(__xludf.DUMMYFUNCTION("""COMPUTED_VALUE"""),"#N/A")</f>
        <v>#N/A</v>
      </c>
    </row>
    <row r="1415" spans="1:35" ht="12.75">
      <c r="A1415" s="6"/>
      <c r="B1415" s="6"/>
      <c r="C1415" s="6"/>
      <c r="D1415" s="10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 t="str">
        <f ca="1">IFERROR(__xludf.DUMMYFUNCTION("""COMPUTED_VALUE"""),"#N/A")</f>
        <v>#N/A</v>
      </c>
    </row>
    <row r="1416" spans="1:35" ht="12.75">
      <c r="A1416" s="6"/>
      <c r="B1416" s="6"/>
      <c r="C1416" s="6"/>
      <c r="D1416" s="10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 t="str">
        <f ca="1">IFERROR(__xludf.DUMMYFUNCTION("""COMPUTED_VALUE"""),"#N/A")</f>
        <v>#N/A</v>
      </c>
    </row>
    <row r="1417" spans="1:35" ht="12.75">
      <c r="A1417" s="6"/>
      <c r="B1417" s="6"/>
      <c r="C1417" s="6"/>
      <c r="D1417" s="10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 t="str">
        <f ca="1">IFERROR(__xludf.DUMMYFUNCTION("""COMPUTED_VALUE"""),"#N/A")</f>
        <v>#N/A</v>
      </c>
    </row>
    <row r="1418" spans="1:35" ht="12.75">
      <c r="A1418" s="6"/>
      <c r="B1418" s="6"/>
      <c r="C1418" s="6"/>
      <c r="D1418" s="10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 t="str">
        <f ca="1">IFERROR(__xludf.DUMMYFUNCTION("""COMPUTED_VALUE"""),"#N/A")</f>
        <v>#N/A</v>
      </c>
    </row>
    <row r="1419" spans="1:35" ht="12.75">
      <c r="A1419" s="6"/>
      <c r="B1419" s="6"/>
      <c r="C1419" s="6"/>
      <c r="D1419" s="10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 t="str">
        <f ca="1">IFERROR(__xludf.DUMMYFUNCTION("""COMPUTED_VALUE"""),"#N/A")</f>
        <v>#N/A</v>
      </c>
    </row>
    <row r="1420" spans="1:35" ht="12.75">
      <c r="A1420" s="6"/>
      <c r="B1420" s="6"/>
      <c r="C1420" s="6"/>
      <c r="D1420" s="10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 t="str">
        <f ca="1">IFERROR(__xludf.DUMMYFUNCTION("""COMPUTED_VALUE"""),"#N/A")</f>
        <v>#N/A</v>
      </c>
    </row>
    <row r="1421" spans="1:35" ht="12.75">
      <c r="A1421" s="6"/>
      <c r="B1421" s="6"/>
      <c r="C1421" s="6"/>
      <c r="D1421" s="10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 t="str">
        <f ca="1">IFERROR(__xludf.DUMMYFUNCTION("""COMPUTED_VALUE"""),"#N/A")</f>
        <v>#N/A</v>
      </c>
    </row>
    <row r="1422" spans="1:35" ht="12.75">
      <c r="A1422" s="6"/>
      <c r="B1422" s="6"/>
      <c r="C1422" s="6"/>
      <c r="D1422" s="10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 t="str">
        <f ca="1">IFERROR(__xludf.DUMMYFUNCTION("""COMPUTED_VALUE"""),"#N/A")</f>
        <v>#N/A</v>
      </c>
    </row>
    <row r="1423" spans="1:35" ht="12.75">
      <c r="A1423" s="6"/>
      <c r="B1423" s="6"/>
      <c r="C1423" s="6"/>
      <c r="D1423" s="10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 t="str">
        <f ca="1">IFERROR(__xludf.DUMMYFUNCTION("""COMPUTED_VALUE"""),"#N/A")</f>
        <v>#N/A</v>
      </c>
    </row>
    <row r="1424" spans="1:35" ht="12.75">
      <c r="A1424" s="6"/>
      <c r="B1424" s="6"/>
      <c r="C1424" s="6"/>
      <c r="D1424" s="10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 t="str">
        <f ca="1">IFERROR(__xludf.DUMMYFUNCTION("""COMPUTED_VALUE"""),"#N/A")</f>
        <v>#N/A</v>
      </c>
    </row>
    <row r="1425" spans="1:35" ht="12.75">
      <c r="A1425" s="6"/>
      <c r="B1425" s="6"/>
      <c r="C1425" s="6"/>
      <c r="D1425" s="10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 t="str">
        <f ca="1">IFERROR(__xludf.DUMMYFUNCTION("""COMPUTED_VALUE"""),"#N/A")</f>
        <v>#N/A</v>
      </c>
    </row>
    <row r="1426" spans="1:35" ht="12.75">
      <c r="A1426" s="6"/>
      <c r="B1426" s="6"/>
      <c r="C1426" s="6"/>
      <c r="D1426" s="10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 t="str">
        <f ca="1">IFERROR(__xludf.DUMMYFUNCTION("""COMPUTED_VALUE"""),"#N/A")</f>
        <v>#N/A</v>
      </c>
    </row>
    <row r="1427" spans="1:35" ht="12.75">
      <c r="A1427" s="6"/>
      <c r="B1427" s="6"/>
      <c r="C1427" s="6"/>
      <c r="D1427" s="10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 t="str">
        <f ca="1">IFERROR(__xludf.DUMMYFUNCTION("""COMPUTED_VALUE"""),"#N/A")</f>
        <v>#N/A</v>
      </c>
    </row>
    <row r="1428" spans="1:35" ht="12.75">
      <c r="A1428" s="6"/>
      <c r="B1428" s="6"/>
      <c r="C1428" s="6"/>
      <c r="D1428" s="10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 t="str">
        <f ca="1">IFERROR(__xludf.DUMMYFUNCTION("""COMPUTED_VALUE"""),"#N/A")</f>
        <v>#N/A</v>
      </c>
    </row>
    <row r="1429" spans="1:35" ht="12.75">
      <c r="A1429" s="6"/>
      <c r="B1429" s="6"/>
      <c r="C1429" s="6"/>
      <c r="D1429" s="10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 t="str">
        <f ca="1">IFERROR(__xludf.DUMMYFUNCTION("""COMPUTED_VALUE"""),"#N/A")</f>
        <v>#N/A</v>
      </c>
    </row>
    <row r="1430" spans="1:35" ht="12.75">
      <c r="A1430" s="6"/>
      <c r="B1430" s="6"/>
      <c r="C1430" s="6"/>
      <c r="D1430" s="10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 t="str">
        <f ca="1">IFERROR(__xludf.DUMMYFUNCTION("""COMPUTED_VALUE"""),"#N/A")</f>
        <v>#N/A</v>
      </c>
    </row>
    <row r="1431" spans="1:35" ht="12.75">
      <c r="A1431" s="6"/>
      <c r="B1431" s="6"/>
      <c r="C1431" s="6"/>
      <c r="D1431" s="10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 t="str">
        <f ca="1">IFERROR(__xludf.DUMMYFUNCTION("""COMPUTED_VALUE"""),"#N/A")</f>
        <v>#N/A</v>
      </c>
    </row>
    <row r="1432" spans="1:35" ht="12.75">
      <c r="A1432" s="6"/>
      <c r="B1432" s="6"/>
      <c r="C1432" s="6"/>
      <c r="D1432" s="10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 t="str">
        <f ca="1">IFERROR(__xludf.DUMMYFUNCTION("""COMPUTED_VALUE"""),"#N/A")</f>
        <v>#N/A</v>
      </c>
    </row>
    <row r="1433" spans="1:35" ht="12.75">
      <c r="A1433" s="6"/>
      <c r="B1433" s="6"/>
      <c r="C1433" s="6"/>
      <c r="D1433" s="10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 t="str">
        <f ca="1">IFERROR(__xludf.DUMMYFUNCTION("""COMPUTED_VALUE"""),"#N/A")</f>
        <v>#N/A</v>
      </c>
    </row>
    <row r="1434" spans="1:35" ht="12.75">
      <c r="A1434" s="6"/>
      <c r="B1434" s="6"/>
      <c r="C1434" s="6"/>
      <c r="D1434" s="10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 t="str">
        <f ca="1">IFERROR(__xludf.DUMMYFUNCTION("""COMPUTED_VALUE"""),"#N/A")</f>
        <v>#N/A</v>
      </c>
    </row>
    <row r="1435" spans="1:35" ht="12.75">
      <c r="A1435" s="6"/>
      <c r="B1435" s="6"/>
      <c r="C1435" s="6"/>
      <c r="D1435" s="10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 t="str">
        <f ca="1">IFERROR(__xludf.DUMMYFUNCTION("""COMPUTED_VALUE"""),"#N/A")</f>
        <v>#N/A</v>
      </c>
    </row>
    <row r="1436" spans="1:35" ht="12.75">
      <c r="A1436" s="6"/>
      <c r="B1436" s="6"/>
      <c r="C1436" s="6"/>
      <c r="D1436" s="10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 t="str">
        <f ca="1">IFERROR(__xludf.DUMMYFUNCTION("""COMPUTED_VALUE"""),"#N/A")</f>
        <v>#N/A</v>
      </c>
    </row>
    <row r="1437" spans="1:35" ht="12.75">
      <c r="A1437" s="6"/>
      <c r="B1437" s="6"/>
      <c r="C1437" s="6"/>
      <c r="D1437" s="10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 t="str">
        <f ca="1">IFERROR(__xludf.DUMMYFUNCTION("""COMPUTED_VALUE"""),"#N/A")</f>
        <v>#N/A</v>
      </c>
    </row>
    <row r="1438" spans="1:35" ht="12.75">
      <c r="A1438" s="6"/>
      <c r="B1438" s="6"/>
      <c r="C1438" s="6"/>
      <c r="D1438" s="10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 t="str">
        <f ca="1">IFERROR(__xludf.DUMMYFUNCTION("""COMPUTED_VALUE"""),"#N/A")</f>
        <v>#N/A</v>
      </c>
    </row>
    <row r="1439" spans="1:35" ht="12.75">
      <c r="A1439" s="6"/>
      <c r="B1439" s="6"/>
      <c r="C1439" s="6"/>
      <c r="D1439" s="10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 t="str">
        <f ca="1">IFERROR(__xludf.DUMMYFUNCTION("""COMPUTED_VALUE"""),"#N/A")</f>
        <v>#N/A</v>
      </c>
    </row>
    <row r="1440" spans="1:35" ht="12.75">
      <c r="A1440" s="6"/>
      <c r="B1440" s="6"/>
      <c r="C1440" s="6"/>
      <c r="D1440" s="10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 t="str">
        <f ca="1">IFERROR(__xludf.DUMMYFUNCTION("""COMPUTED_VALUE"""),"#N/A")</f>
        <v>#N/A</v>
      </c>
    </row>
    <row r="1441" spans="1:35" ht="12.75">
      <c r="A1441" s="6"/>
      <c r="B1441" s="6"/>
      <c r="C1441" s="6"/>
      <c r="D1441" s="10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 t="str">
        <f ca="1">IFERROR(__xludf.DUMMYFUNCTION("""COMPUTED_VALUE"""),"#N/A")</f>
        <v>#N/A</v>
      </c>
    </row>
    <row r="1442" spans="1:35" ht="12.75">
      <c r="A1442" s="6"/>
      <c r="B1442" s="6"/>
      <c r="C1442" s="6"/>
      <c r="D1442" s="10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 t="str">
        <f ca="1">IFERROR(__xludf.DUMMYFUNCTION("""COMPUTED_VALUE"""),"#N/A")</f>
        <v>#N/A</v>
      </c>
    </row>
    <row r="1443" spans="1:35" ht="12.75">
      <c r="A1443" s="6"/>
      <c r="B1443" s="6"/>
      <c r="C1443" s="6"/>
      <c r="D1443" s="10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 t="str">
        <f ca="1">IFERROR(__xludf.DUMMYFUNCTION("""COMPUTED_VALUE"""),"#N/A")</f>
        <v>#N/A</v>
      </c>
    </row>
    <row r="1444" spans="1:35" ht="12.75">
      <c r="A1444" s="6"/>
      <c r="B1444" s="6"/>
      <c r="C1444" s="6"/>
      <c r="D1444" s="10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 t="str">
        <f ca="1">IFERROR(__xludf.DUMMYFUNCTION("""COMPUTED_VALUE"""),"#N/A")</f>
        <v>#N/A</v>
      </c>
    </row>
    <row r="1445" spans="1:35" ht="12.75">
      <c r="A1445" s="6"/>
      <c r="B1445" s="6"/>
      <c r="C1445" s="6"/>
      <c r="D1445" s="10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 t="str">
        <f ca="1">IFERROR(__xludf.DUMMYFUNCTION("""COMPUTED_VALUE"""),"#N/A")</f>
        <v>#N/A</v>
      </c>
    </row>
    <row r="1446" spans="1:35" ht="12.75">
      <c r="A1446" s="6"/>
      <c r="B1446" s="6"/>
      <c r="C1446" s="6"/>
      <c r="D1446" s="10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 t="str">
        <f ca="1">IFERROR(__xludf.DUMMYFUNCTION("""COMPUTED_VALUE"""),"#N/A")</f>
        <v>#N/A</v>
      </c>
    </row>
    <row r="1447" spans="1:35" ht="12.75">
      <c r="A1447" s="6"/>
      <c r="B1447" s="6"/>
      <c r="C1447" s="6"/>
      <c r="D1447" s="10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 t="str">
        <f ca="1">IFERROR(__xludf.DUMMYFUNCTION("""COMPUTED_VALUE"""),"#N/A")</f>
        <v>#N/A</v>
      </c>
    </row>
    <row r="1448" spans="1:35" ht="12.75">
      <c r="A1448" s="6"/>
      <c r="B1448" s="6"/>
      <c r="C1448" s="6"/>
      <c r="D1448" s="10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 t="str">
        <f ca="1">IFERROR(__xludf.DUMMYFUNCTION("""COMPUTED_VALUE"""),"#N/A")</f>
        <v>#N/A</v>
      </c>
    </row>
    <row r="1449" spans="1:35" ht="12.75">
      <c r="A1449" s="6"/>
      <c r="B1449" s="6"/>
      <c r="C1449" s="6"/>
      <c r="D1449" s="10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 t="str">
        <f ca="1">IFERROR(__xludf.DUMMYFUNCTION("""COMPUTED_VALUE"""),"#N/A")</f>
        <v>#N/A</v>
      </c>
    </row>
    <row r="1450" spans="1:35" ht="12.75">
      <c r="A1450" s="6"/>
      <c r="B1450" s="6"/>
      <c r="C1450" s="6"/>
      <c r="D1450" s="10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 t="str">
        <f ca="1">IFERROR(__xludf.DUMMYFUNCTION("""COMPUTED_VALUE"""),"#N/A")</f>
        <v>#N/A</v>
      </c>
    </row>
    <row r="1451" spans="1:35" ht="12.75">
      <c r="A1451" s="6"/>
      <c r="B1451" s="6"/>
      <c r="C1451" s="6"/>
      <c r="D1451" s="10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 t="str">
        <f ca="1">IFERROR(__xludf.DUMMYFUNCTION("""COMPUTED_VALUE"""),"#N/A")</f>
        <v>#N/A</v>
      </c>
    </row>
    <row r="1452" spans="1:35" ht="12.75">
      <c r="A1452" s="6"/>
      <c r="B1452" s="6"/>
      <c r="C1452" s="6"/>
      <c r="D1452" s="10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 t="str">
        <f ca="1">IFERROR(__xludf.DUMMYFUNCTION("""COMPUTED_VALUE"""),"#N/A")</f>
        <v>#N/A</v>
      </c>
    </row>
    <row r="1453" spans="1:35" ht="12.75">
      <c r="A1453" s="6"/>
      <c r="B1453" s="6"/>
      <c r="C1453" s="6"/>
      <c r="D1453" s="10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 t="str">
        <f ca="1">IFERROR(__xludf.DUMMYFUNCTION("""COMPUTED_VALUE"""),"#N/A")</f>
        <v>#N/A</v>
      </c>
    </row>
    <row r="1454" spans="1:35" ht="12.75">
      <c r="A1454" s="6"/>
      <c r="B1454" s="6"/>
      <c r="C1454" s="6"/>
      <c r="D1454" s="10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 t="str">
        <f ca="1">IFERROR(__xludf.DUMMYFUNCTION("""COMPUTED_VALUE"""),"#N/A")</f>
        <v>#N/A</v>
      </c>
    </row>
    <row r="1455" spans="1:35" ht="12.75">
      <c r="A1455" s="6"/>
      <c r="B1455" s="6"/>
      <c r="C1455" s="6"/>
      <c r="D1455" s="10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 t="str">
        <f ca="1">IFERROR(__xludf.DUMMYFUNCTION("""COMPUTED_VALUE"""),"#N/A")</f>
        <v>#N/A</v>
      </c>
    </row>
    <row r="1456" spans="1:35" ht="12.75">
      <c r="A1456" s="6"/>
      <c r="B1456" s="6"/>
      <c r="C1456" s="6"/>
      <c r="D1456" s="10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 t="str">
        <f ca="1">IFERROR(__xludf.DUMMYFUNCTION("""COMPUTED_VALUE"""),"#N/A")</f>
        <v>#N/A</v>
      </c>
    </row>
    <row r="1457" spans="1:35" ht="12.75">
      <c r="A1457" s="6"/>
      <c r="B1457" s="6"/>
      <c r="C1457" s="6"/>
      <c r="D1457" s="10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 t="str">
        <f ca="1">IFERROR(__xludf.DUMMYFUNCTION("""COMPUTED_VALUE"""),"#N/A")</f>
        <v>#N/A</v>
      </c>
    </row>
    <row r="1458" spans="1:35" ht="12.75">
      <c r="A1458" s="6"/>
      <c r="B1458" s="6"/>
      <c r="C1458" s="6"/>
      <c r="D1458" s="10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 t="str">
        <f ca="1">IFERROR(__xludf.DUMMYFUNCTION("""COMPUTED_VALUE"""),"#N/A")</f>
        <v>#N/A</v>
      </c>
    </row>
    <row r="1459" spans="1:35" ht="12.75">
      <c r="A1459" s="6"/>
      <c r="B1459" s="6"/>
      <c r="C1459" s="6"/>
      <c r="D1459" s="10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 t="str">
        <f ca="1">IFERROR(__xludf.DUMMYFUNCTION("""COMPUTED_VALUE"""),"#N/A")</f>
        <v>#N/A</v>
      </c>
    </row>
    <row r="1460" spans="1:35" ht="12.75">
      <c r="A1460" s="6"/>
      <c r="B1460" s="6"/>
      <c r="C1460" s="6"/>
      <c r="D1460" s="10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 t="str">
        <f ca="1">IFERROR(__xludf.DUMMYFUNCTION("""COMPUTED_VALUE"""),"#N/A")</f>
        <v>#N/A</v>
      </c>
    </row>
    <row r="1461" spans="1:35" ht="12.75">
      <c r="A1461" s="6"/>
      <c r="B1461" s="6"/>
      <c r="C1461" s="6"/>
      <c r="D1461" s="10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 t="str">
        <f ca="1">IFERROR(__xludf.DUMMYFUNCTION("""COMPUTED_VALUE"""),"#N/A")</f>
        <v>#N/A</v>
      </c>
    </row>
    <row r="1462" spans="1:35" ht="12.75">
      <c r="A1462" s="6"/>
      <c r="B1462" s="6"/>
      <c r="C1462" s="6"/>
      <c r="D1462" s="10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 t="str">
        <f ca="1">IFERROR(__xludf.DUMMYFUNCTION("""COMPUTED_VALUE"""),"#N/A")</f>
        <v>#N/A</v>
      </c>
    </row>
    <row r="1463" spans="1:35" ht="12.75">
      <c r="A1463" s="6"/>
      <c r="B1463" s="6"/>
      <c r="C1463" s="6"/>
      <c r="D1463" s="10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 t="str">
        <f ca="1">IFERROR(__xludf.DUMMYFUNCTION("""COMPUTED_VALUE"""),"#N/A")</f>
        <v>#N/A</v>
      </c>
    </row>
    <row r="1464" spans="1:35" ht="12.75">
      <c r="A1464" s="6"/>
      <c r="B1464" s="6"/>
      <c r="C1464" s="6"/>
      <c r="D1464" s="10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 t="str">
        <f ca="1">IFERROR(__xludf.DUMMYFUNCTION("""COMPUTED_VALUE"""),"#N/A")</f>
        <v>#N/A</v>
      </c>
    </row>
    <row r="1465" spans="1:35" ht="12.75">
      <c r="A1465" s="6"/>
      <c r="B1465" s="6"/>
      <c r="C1465" s="6"/>
      <c r="D1465" s="10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 t="str">
        <f ca="1">IFERROR(__xludf.DUMMYFUNCTION("""COMPUTED_VALUE"""),"#N/A")</f>
        <v>#N/A</v>
      </c>
    </row>
    <row r="1466" spans="1:35" ht="12.75">
      <c r="A1466" s="6"/>
      <c r="B1466" s="6"/>
      <c r="C1466" s="6"/>
      <c r="D1466" s="10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 t="str">
        <f ca="1">IFERROR(__xludf.DUMMYFUNCTION("""COMPUTED_VALUE"""),"#N/A")</f>
        <v>#N/A</v>
      </c>
    </row>
    <row r="1467" spans="1:35" ht="12.75">
      <c r="A1467" s="6"/>
      <c r="B1467" s="6"/>
      <c r="C1467" s="6"/>
      <c r="D1467" s="10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 t="str">
        <f ca="1">IFERROR(__xludf.DUMMYFUNCTION("""COMPUTED_VALUE"""),"#N/A")</f>
        <v>#N/A</v>
      </c>
    </row>
    <row r="1468" spans="1:35" ht="12.75">
      <c r="A1468" s="6"/>
      <c r="B1468" s="6"/>
      <c r="C1468" s="6"/>
      <c r="D1468" s="10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 t="str">
        <f ca="1">IFERROR(__xludf.DUMMYFUNCTION("""COMPUTED_VALUE"""),"#N/A")</f>
        <v>#N/A</v>
      </c>
    </row>
    <row r="1469" spans="1:35" ht="12.75">
      <c r="A1469" s="6"/>
      <c r="B1469" s="6"/>
      <c r="C1469" s="6"/>
      <c r="D1469" s="10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 t="str">
        <f ca="1">IFERROR(__xludf.DUMMYFUNCTION("""COMPUTED_VALUE"""),"#N/A")</f>
        <v>#N/A</v>
      </c>
    </row>
    <row r="1470" spans="1:35" ht="12.75">
      <c r="A1470" s="6"/>
      <c r="B1470" s="6"/>
      <c r="C1470" s="6"/>
      <c r="D1470" s="10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 t="str">
        <f ca="1">IFERROR(__xludf.DUMMYFUNCTION("""COMPUTED_VALUE"""),"#N/A")</f>
        <v>#N/A</v>
      </c>
    </row>
    <row r="1471" spans="1:35" ht="12.75">
      <c r="A1471" s="6"/>
      <c r="B1471" s="6"/>
      <c r="C1471" s="6"/>
      <c r="D1471" s="10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 t="str">
        <f ca="1">IFERROR(__xludf.DUMMYFUNCTION("""COMPUTED_VALUE"""),"#N/A")</f>
        <v>#N/A</v>
      </c>
    </row>
    <row r="1472" spans="1:35" ht="12.75">
      <c r="A1472" s="6"/>
      <c r="B1472" s="6"/>
      <c r="C1472" s="6"/>
      <c r="D1472" s="10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 t="str">
        <f ca="1">IFERROR(__xludf.DUMMYFUNCTION("""COMPUTED_VALUE"""),"#N/A")</f>
        <v>#N/A</v>
      </c>
    </row>
    <row r="1473" spans="1:35" ht="12.75">
      <c r="A1473" s="6"/>
      <c r="B1473" s="6"/>
      <c r="C1473" s="6"/>
      <c r="D1473" s="10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 t="str">
        <f ca="1">IFERROR(__xludf.DUMMYFUNCTION("""COMPUTED_VALUE"""),"#N/A")</f>
        <v>#N/A</v>
      </c>
    </row>
    <row r="1474" spans="1:35" ht="12.75">
      <c r="A1474" s="6"/>
      <c r="B1474" s="6"/>
      <c r="C1474" s="6"/>
      <c r="D1474" s="10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 t="str">
        <f ca="1">IFERROR(__xludf.DUMMYFUNCTION("""COMPUTED_VALUE"""),"#N/A")</f>
        <v>#N/A</v>
      </c>
    </row>
    <row r="1475" spans="1:35" ht="12.75">
      <c r="A1475" s="6"/>
      <c r="B1475" s="6"/>
      <c r="C1475" s="6"/>
      <c r="D1475" s="10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 t="str">
        <f ca="1">IFERROR(__xludf.DUMMYFUNCTION("""COMPUTED_VALUE"""),"#N/A")</f>
        <v>#N/A</v>
      </c>
    </row>
    <row r="1476" spans="1:35" ht="12.75">
      <c r="A1476" s="6"/>
      <c r="B1476" s="6"/>
      <c r="C1476" s="6"/>
      <c r="D1476" s="10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 t="str">
        <f ca="1">IFERROR(__xludf.DUMMYFUNCTION("""COMPUTED_VALUE"""),"#N/A")</f>
        <v>#N/A</v>
      </c>
    </row>
    <row r="1477" spans="1:35" ht="12.75">
      <c r="A1477" s="6"/>
      <c r="B1477" s="6"/>
      <c r="C1477" s="6"/>
      <c r="D1477" s="10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 t="str">
        <f ca="1">IFERROR(__xludf.DUMMYFUNCTION("""COMPUTED_VALUE"""),"#N/A")</f>
        <v>#N/A</v>
      </c>
    </row>
    <row r="1478" spans="1:35" ht="12.75">
      <c r="A1478" s="6"/>
      <c r="B1478" s="6"/>
      <c r="C1478" s="6"/>
      <c r="D1478" s="10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 t="str">
        <f ca="1">IFERROR(__xludf.DUMMYFUNCTION("""COMPUTED_VALUE"""),"#N/A")</f>
        <v>#N/A</v>
      </c>
    </row>
    <row r="1479" spans="1:35" ht="12.75">
      <c r="A1479" s="6"/>
      <c r="B1479" s="6"/>
      <c r="C1479" s="6"/>
      <c r="D1479" s="10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 t="str">
        <f ca="1">IFERROR(__xludf.DUMMYFUNCTION("""COMPUTED_VALUE"""),"#N/A")</f>
        <v>#N/A</v>
      </c>
    </row>
    <row r="1480" spans="1:35" ht="12.75">
      <c r="A1480" s="6"/>
      <c r="B1480" s="6"/>
      <c r="C1480" s="6"/>
      <c r="D1480" s="10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 t="str">
        <f ca="1">IFERROR(__xludf.DUMMYFUNCTION("""COMPUTED_VALUE"""),"#N/A")</f>
        <v>#N/A</v>
      </c>
    </row>
    <row r="1481" spans="1:35" ht="12.75">
      <c r="A1481" s="6"/>
      <c r="B1481" s="6"/>
      <c r="C1481" s="6"/>
      <c r="D1481" s="10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 t="str">
        <f ca="1">IFERROR(__xludf.DUMMYFUNCTION("""COMPUTED_VALUE"""),"#N/A")</f>
        <v>#N/A</v>
      </c>
    </row>
    <row r="1482" spans="1:35" ht="12.75">
      <c r="A1482" s="6"/>
      <c r="B1482" s="6"/>
      <c r="C1482" s="6"/>
      <c r="D1482" s="10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 t="str">
        <f ca="1">IFERROR(__xludf.DUMMYFUNCTION("""COMPUTED_VALUE"""),"#N/A")</f>
        <v>#N/A</v>
      </c>
    </row>
    <row r="1483" spans="1:35" ht="12.75">
      <c r="A1483" s="6"/>
      <c r="B1483" s="6"/>
      <c r="C1483" s="6"/>
      <c r="D1483" s="10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 t="str">
        <f ca="1">IFERROR(__xludf.DUMMYFUNCTION("""COMPUTED_VALUE"""),"#N/A")</f>
        <v>#N/A</v>
      </c>
    </row>
    <row r="1484" spans="1:35" ht="12.75">
      <c r="A1484" s="6"/>
      <c r="B1484" s="6"/>
      <c r="C1484" s="6"/>
      <c r="D1484" s="10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 t="str">
        <f ca="1">IFERROR(__xludf.DUMMYFUNCTION("""COMPUTED_VALUE"""),"#N/A")</f>
        <v>#N/A</v>
      </c>
    </row>
    <row r="1485" spans="1:35" ht="12.75">
      <c r="A1485" s="6"/>
      <c r="B1485" s="6"/>
      <c r="C1485" s="6"/>
      <c r="D1485" s="10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 t="str">
        <f ca="1">IFERROR(__xludf.DUMMYFUNCTION("""COMPUTED_VALUE"""),"#N/A")</f>
        <v>#N/A</v>
      </c>
    </row>
    <row r="1486" spans="1:35" ht="12.75">
      <c r="A1486" s="6"/>
      <c r="B1486" s="6"/>
      <c r="C1486" s="6"/>
      <c r="D1486" s="10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 t="str">
        <f ca="1">IFERROR(__xludf.DUMMYFUNCTION("""COMPUTED_VALUE"""),"#N/A")</f>
        <v>#N/A</v>
      </c>
    </row>
    <row r="1487" spans="1:35" ht="12.75">
      <c r="A1487" s="6"/>
      <c r="B1487" s="6"/>
      <c r="C1487" s="6"/>
      <c r="D1487" s="10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 t="str">
        <f ca="1">IFERROR(__xludf.DUMMYFUNCTION("""COMPUTED_VALUE"""),"#N/A")</f>
        <v>#N/A</v>
      </c>
    </row>
    <row r="1488" spans="1:35" ht="12.75">
      <c r="A1488" s="6"/>
      <c r="B1488" s="6"/>
      <c r="C1488" s="6"/>
      <c r="D1488" s="10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 t="str">
        <f ca="1">IFERROR(__xludf.DUMMYFUNCTION("""COMPUTED_VALUE"""),"#N/A")</f>
        <v>#N/A</v>
      </c>
    </row>
    <row r="1489" spans="1:35" ht="12.75">
      <c r="A1489" s="6"/>
      <c r="B1489" s="6"/>
      <c r="C1489" s="6"/>
      <c r="D1489" s="10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 t="str">
        <f ca="1">IFERROR(__xludf.DUMMYFUNCTION("""COMPUTED_VALUE"""),"#N/A")</f>
        <v>#N/A</v>
      </c>
    </row>
    <row r="1490" spans="1:35" ht="12.75">
      <c r="A1490" s="6"/>
      <c r="B1490" s="6"/>
      <c r="C1490" s="6"/>
      <c r="D1490" s="10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 t="str">
        <f ca="1">IFERROR(__xludf.DUMMYFUNCTION("""COMPUTED_VALUE"""),"#N/A")</f>
        <v>#N/A</v>
      </c>
    </row>
    <row r="1491" spans="1:35" ht="12.75">
      <c r="A1491" s="6"/>
      <c r="B1491" s="6"/>
      <c r="C1491" s="6"/>
      <c r="D1491" s="10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 t="str">
        <f ca="1">IFERROR(__xludf.DUMMYFUNCTION("""COMPUTED_VALUE"""),"#N/A")</f>
        <v>#N/A</v>
      </c>
    </row>
    <row r="1492" spans="1:35" ht="12.75">
      <c r="A1492" s="6"/>
      <c r="B1492" s="6"/>
      <c r="C1492" s="6"/>
      <c r="D1492" s="10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 t="str">
        <f ca="1">IFERROR(__xludf.DUMMYFUNCTION("""COMPUTED_VALUE"""),"#N/A")</f>
        <v>#N/A</v>
      </c>
    </row>
    <row r="1493" spans="1:35" ht="12.75">
      <c r="A1493" s="6"/>
      <c r="B1493" s="6"/>
      <c r="C1493" s="6"/>
      <c r="D1493" s="10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 t="str">
        <f ca="1">IFERROR(__xludf.DUMMYFUNCTION("""COMPUTED_VALUE"""),"#N/A")</f>
        <v>#N/A</v>
      </c>
    </row>
    <row r="1494" spans="1:35" ht="12.75">
      <c r="A1494" s="6"/>
      <c r="B1494" s="6"/>
      <c r="C1494" s="6"/>
      <c r="D1494" s="10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 t="str">
        <f ca="1">IFERROR(__xludf.DUMMYFUNCTION("""COMPUTED_VALUE"""),"#N/A")</f>
        <v>#N/A</v>
      </c>
    </row>
    <row r="1495" spans="1:35" ht="12.75">
      <c r="A1495" s="6"/>
      <c r="B1495" s="6"/>
      <c r="C1495" s="6"/>
      <c r="D1495" s="10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 t="str">
        <f ca="1">IFERROR(__xludf.DUMMYFUNCTION("""COMPUTED_VALUE"""),"#N/A")</f>
        <v>#N/A</v>
      </c>
    </row>
    <row r="1496" spans="1:35" ht="12.75">
      <c r="A1496" s="6"/>
      <c r="B1496" s="6"/>
      <c r="C1496" s="6"/>
      <c r="D1496" s="10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 t="str">
        <f ca="1">IFERROR(__xludf.DUMMYFUNCTION("""COMPUTED_VALUE"""),"#N/A")</f>
        <v>#N/A</v>
      </c>
    </row>
    <row r="1497" spans="1:35" ht="12.75">
      <c r="A1497" s="6"/>
      <c r="B1497" s="6"/>
      <c r="C1497" s="6"/>
      <c r="D1497" s="10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 t="str">
        <f ca="1">IFERROR(__xludf.DUMMYFUNCTION("""COMPUTED_VALUE"""),"#N/A")</f>
        <v>#N/A</v>
      </c>
    </row>
    <row r="1498" spans="1:35" ht="12.75">
      <c r="A1498" s="6"/>
      <c r="B1498" s="6"/>
      <c r="C1498" s="6"/>
      <c r="D1498" s="10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 t="str">
        <f ca="1">IFERROR(__xludf.DUMMYFUNCTION("""COMPUTED_VALUE"""),"#N/A")</f>
        <v>#N/A</v>
      </c>
    </row>
    <row r="1499" spans="1:35" ht="12.75">
      <c r="A1499" s="6"/>
      <c r="B1499" s="6"/>
      <c r="C1499" s="6"/>
      <c r="D1499" s="10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 t="str">
        <f ca="1">IFERROR(__xludf.DUMMYFUNCTION("""COMPUTED_VALUE"""),"#N/A")</f>
        <v>#N/A</v>
      </c>
    </row>
    <row r="1500" spans="1:35" ht="12.75">
      <c r="A1500" s="6"/>
      <c r="B1500" s="6"/>
      <c r="C1500" s="6"/>
      <c r="D1500" s="10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 t="str">
        <f ca="1">IFERROR(__xludf.DUMMYFUNCTION("""COMPUTED_VALUE"""),"#N/A")</f>
        <v>#N/A</v>
      </c>
    </row>
    <row r="1501" spans="1:35" ht="12.75">
      <c r="A1501" s="6"/>
      <c r="B1501" s="6"/>
      <c r="C1501" s="6"/>
      <c r="D1501" s="10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 t="str">
        <f ca="1">IFERROR(__xludf.DUMMYFUNCTION("""COMPUTED_VALUE"""),"#N/A")</f>
        <v>#N/A</v>
      </c>
    </row>
    <row r="1502" spans="1:35" ht="12.75">
      <c r="A1502" s="6"/>
      <c r="B1502" s="6"/>
      <c r="C1502" s="6"/>
      <c r="D1502" s="10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 t="str">
        <f ca="1">IFERROR(__xludf.DUMMYFUNCTION("""COMPUTED_VALUE"""),"#N/A")</f>
        <v>#N/A</v>
      </c>
    </row>
    <row r="1503" spans="1:35" ht="12.75">
      <c r="A1503" s="6"/>
      <c r="B1503" s="6"/>
      <c r="C1503" s="6"/>
      <c r="D1503" s="10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 t="str">
        <f ca="1">IFERROR(__xludf.DUMMYFUNCTION("""COMPUTED_VALUE"""),"#N/A")</f>
        <v>#N/A</v>
      </c>
    </row>
    <row r="1504" spans="1:35" ht="12.75">
      <c r="A1504" s="6"/>
      <c r="B1504" s="6"/>
      <c r="C1504" s="6"/>
      <c r="D1504" s="10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 t="str">
        <f ca="1">IFERROR(__xludf.DUMMYFUNCTION("""COMPUTED_VALUE"""),"#N/A")</f>
        <v>#N/A</v>
      </c>
    </row>
    <row r="1505" spans="1:35" ht="12.75">
      <c r="A1505" s="6"/>
      <c r="B1505" s="6"/>
      <c r="C1505" s="6"/>
      <c r="D1505" s="10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 t="str">
        <f ca="1">IFERROR(__xludf.DUMMYFUNCTION("""COMPUTED_VALUE"""),"#N/A")</f>
        <v>#N/A</v>
      </c>
    </row>
    <row r="1506" spans="1:35" ht="12.75">
      <c r="A1506" s="6"/>
      <c r="B1506" s="6"/>
      <c r="C1506" s="6"/>
      <c r="D1506" s="10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 t="str">
        <f ca="1">IFERROR(__xludf.DUMMYFUNCTION("""COMPUTED_VALUE"""),"#N/A")</f>
        <v>#N/A</v>
      </c>
    </row>
    <row r="1507" spans="1:35" ht="12.75">
      <c r="A1507" s="6"/>
      <c r="B1507" s="6"/>
      <c r="C1507" s="6"/>
      <c r="D1507" s="10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 t="str">
        <f ca="1">IFERROR(__xludf.DUMMYFUNCTION("""COMPUTED_VALUE"""),"#N/A")</f>
        <v>#N/A</v>
      </c>
    </row>
    <row r="1508" spans="1:35" ht="12.75">
      <c r="A1508" s="6"/>
      <c r="B1508" s="6"/>
      <c r="C1508" s="6"/>
      <c r="D1508" s="10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 t="str">
        <f ca="1">IFERROR(__xludf.DUMMYFUNCTION("""COMPUTED_VALUE"""),"#N/A")</f>
        <v>#N/A</v>
      </c>
    </row>
    <row r="1509" spans="1:35" ht="12.75">
      <c r="A1509" s="6"/>
      <c r="B1509" s="6"/>
      <c r="C1509" s="6"/>
      <c r="D1509" s="10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 t="str">
        <f ca="1">IFERROR(__xludf.DUMMYFUNCTION("""COMPUTED_VALUE"""),"#N/A")</f>
        <v>#N/A</v>
      </c>
    </row>
    <row r="1510" spans="1:35" ht="12.75">
      <c r="A1510" s="6"/>
      <c r="B1510" s="6"/>
      <c r="C1510" s="6"/>
      <c r="D1510" s="10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 t="str">
        <f ca="1">IFERROR(__xludf.DUMMYFUNCTION("""COMPUTED_VALUE"""),"#N/A")</f>
        <v>#N/A</v>
      </c>
    </row>
    <row r="1511" spans="1:35" ht="12.75">
      <c r="A1511" s="6"/>
      <c r="B1511" s="6"/>
      <c r="C1511" s="6"/>
      <c r="D1511" s="10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 t="str">
        <f ca="1">IFERROR(__xludf.DUMMYFUNCTION("""COMPUTED_VALUE"""),"#N/A")</f>
        <v>#N/A</v>
      </c>
    </row>
    <row r="1512" spans="1:35" ht="12.75">
      <c r="A1512" s="6"/>
      <c r="B1512" s="6"/>
      <c r="C1512" s="6"/>
      <c r="D1512" s="10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 t="str">
        <f ca="1">IFERROR(__xludf.DUMMYFUNCTION("""COMPUTED_VALUE"""),"#N/A")</f>
        <v>#N/A</v>
      </c>
    </row>
    <row r="1513" spans="1:35" ht="12.75">
      <c r="A1513" s="6"/>
      <c r="B1513" s="6"/>
      <c r="C1513" s="6"/>
      <c r="D1513" s="10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 t="str">
        <f ca="1">IFERROR(__xludf.DUMMYFUNCTION("""COMPUTED_VALUE"""),"#N/A")</f>
        <v>#N/A</v>
      </c>
    </row>
    <row r="1514" spans="1:35" ht="12.75">
      <c r="A1514" s="6"/>
      <c r="B1514" s="6"/>
      <c r="C1514" s="6"/>
      <c r="D1514" s="10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 t="str">
        <f ca="1">IFERROR(__xludf.DUMMYFUNCTION("""COMPUTED_VALUE"""),"#N/A")</f>
        <v>#N/A</v>
      </c>
    </row>
    <row r="1515" spans="1:35" ht="12.75">
      <c r="A1515" s="6"/>
      <c r="B1515" s="6"/>
      <c r="C1515" s="6"/>
      <c r="D1515" s="10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 t="str">
        <f ca="1">IFERROR(__xludf.DUMMYFUNCTION("""COMPUTED_VALUE"""),"#N/A")</f>
        <v>#N/A</v>
      </c>
    </row>
    <row r="1516" spans="1:35" ht="12.75">
      <c r="A1516" s="6"/>
      <c r="B1516" s="6"/>
      <c r="C1516" s="6"/>
      <c r="D1516" s="10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 t="str">
        <f ca="1">IFERROR(__xludf.DUMMYFUNCTION("""COMPUTED_VALUE"""),"#N/A")</f>
        <v>#N/A</v>
      </c>
    </row>
    <row r="1517" spans="1:35" ht="12.75">
      <c r="A1517" s="6"/>
      <c r="B1517" s="6"/>
      <c r="C1517" s="6"/>
      <c r="D1517" s="10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 t="str">
        <f ca="1">IFERROR(__xludf.DUMMYFUNCTION("""COMPUTED_VALUE"""),"#N/A")</f>
        <v>#N/A</v>
      </c>
    </row>
    <row r="1518" spans="1:35" ht="12.75">
      <c r="A1518" s="6"/>
      <c r="B1518" s="6"/>
      <c r="C1518" s="6"/>
      <c r="D1518" s="10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 t="str">
        <f ca="1">IFERROR(__xludf.DUMMYFUNCTION("""COMPUTED_VALUE"""),"#N/A")</f>
        <v>#N/A</v>
      </c>
    </row>
    <row r="1519" spans="1:35" ht="12.75">
      <c r="A1519" s="6"/>
      <c r="B1519" s="6"/>
      <c r="C1519" s="6"/>
      <c r="D1519" s="10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 t="str">
        <f ca="1">IFERROR(__xludf.DUMMYFUNCTION("""COMPUTED_VALUE"""),"#N/A")</f>
        <v>#N/A</v>
      </c>
    </row>
    <row r="1520" spans="1:35" ht="12.75">
      <c r="A1520" s="6"/>
      <c r="B1520" s="6"/>
      <c r="C1520" s="6"/>
      <c r="D1520" s="10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 t="str">
        <f ca="1">IFERROR(__xludf.DUMMYFUNCTION("""COMPUTED_VALUE"""),"#N/A")</f>
        <v>#N/A</v>
      </c>
    </row>
    <row r="1521" spans="1:35" ht="12.75">
      <c r="A1521" s="6"/>
      <c r="B1521" s="6"/>
      <c r="C1521" s="6"/>
      <c r="D1521" s="10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 t="str">
        <f ca="1">IFERROR(__xludf.DUMMYFUNCTION("""COMPUTED_VALUE"""),"#N/A")</f>
        <v>#N/A</v>
      </c>
    </row>
    <row r="1522" spans="1:35" ht="12.75">
      <c r="A1522" s="6"/>
      <c r="B1522" s="6"/>
      <c r="C1522" s="6"/>
      <c r="D1522" s="10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 t="str">
        <f ca="1">IFERROR(__xludf.DUMMYFUNCTION("""COMPUTED_VALUE"""),"#N/A")</f>
        <v>#N/A</v>
      </c>
    </row>
    <row r="1523" spans="1:35" ht="12.75">
      <c r="A1523" s="6"/>
      <c r="B1523" s="6"/>
      <c r="C1523" s="6"/>
      <c r="D1523" s="10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 t="str">
        <f ca="1">IFERROR(__xludf.DUMMYFUNCTION("""COMPUTED_VALUE"""),"#N/A")</f>
        <v>#N/A</v>
      </c>
    </row>
    <row r="1524" spans="1:35" ht="12.75">
      <c r="A1524" s="6"/>
      <c r="B1524" s="6"/>
      <c r="C1524" s="6"/>
      <c r="D1524" s="10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 t="str">
        <f ca="1">IFERROR(__xludf.DUMMYFUNCTION("""COMPUTED_VALUE"""),"#N/A")</f>
        <v>#N/A</v>
      </c>
    </row>
    <row r="1525" spans="1:35" ht="12.75">
      <c r="A1525" s="6"/>
      <c r="B1525" s="6"/>
      <c r="C1525" s="6"/>
      <c r="D1525" s="10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 t="str">
        <f ca="1">IFERROR(__xludf.DUMMYFUNCTION("""COMPUTED_VALUE"""),"#N/A")</f>
        <v>#N/A</v>
      </c>
    </row>
    <row r="1526" spans="1:35" ht="12.75">
      <c r="A1526" s="6"/>
      <c r="B1526" s="6"/>
      <c r="C1526" s="6"/>
      <c r="D1526" s="10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 t="str">
        <f ca="1">IFERROR(__xludf.DUMMYFUNCTION("""COMPUTED_VALUE"""),"#N/A")</f>
        <v>#N/A</v>
      </c>
    </row>
    <row r="1527" spans="1:35" ht="12.75">
      <c r="A1527" s="6"/>
      <c r="B1527" s="6"/>
      <c r="C1527" s="6"/>
      <c r="D1527" s="10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 t="str">
        <f ca="1">IFERROR(__xludf.DUMMYFUNCTION("""COMPUTED_VALUE"""),"#N/A")</f>
        <v>#N/A</v>
      </c>
    </row>
    <row r="1528" spans="1:35" ht="12.75">
      <c r="A1528" s="6"/>
      <c r="B1528" s="6"/>
      <c r="C1528" s="6"/>
      <c r="D1528" s="10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 t="str">
        <f ca="1">IFERROR(__xludf.DUMMYFUNCTION("""COMPUTED_VALUE"""),"#N/A")</f>
        <v>#N/A</v>
      </c>
    </row>
    <row r="1529" spans="1:35" ht="12.75">
      <c r="A1529" s="6"/>
      <c r="B1529" s="6"/>
      <c r="C1529" s="6"/>
      <c r="D1529" s="10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 t="str">
        <f ca="1">IFERROR(__xludf.DUMMYFUNCTION("""COMPUTED_VALUE"""),"#N/A")</f>
        <v>#N/A</v>
      </c>
    </row>
    <row r="1530" spans="1:35" ht="12.75">
      <c r="A1530" s="6"/>
      <c r="B1530" s="6"/>
      <c r="C1530" s="6"/>
      <c r="D1530" s="10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 t="str">
        <f ca="1">IFERROR(__xludf.DUMMYFUNCTION("""COMPUTED_VALUE"""),"#N/A")</f>
        <v>#N/A</v>
      </c>
    </row>
    <row r="1531" spans="1:35" ht="12.75">
      <c r="A1531" s="6"/>
      <c r="B1531" s="6"/>
      <c r="C1531" s="6"/>
      <c r="D1531" s="10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 t="str">
        <f ca="1">IFERROR(__xludf.DUMMYFUNCTION("""COMPUTED_VALUE"""),"#N/A")</f>
        <v>#N/A</v>
      </c>
    </row>
    <row r="1532" spans="1:35" ht="12.75">
      <c r="A1532" s="6"/>
      <c r="B1532" s="6"/>
      <c r="C1532" s="6"/>
      <c r="D1532" s="10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 t="str">
        <f ca="1">IFERROR(__xludf.DUMMYFUNCTION("""COMPUTED_VALUE"""),"#N/A")</f>
        <v>#N/A</v>
      </c>
    </row>
    <row r="1533" spans="1:35" ht="12.75">
      <c r="A1533" s="6"/>
      <c r="B1533" s="6"/>
      <c r="C1533" s="6"/>
      <c r="D1533" s="10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 t="str">
        <f ca="1">IFERROR(__xludf.DUMMYFUNCTION("""COMPUTED_VALUE"""),"#N/A")</f>
        <v>#N/A</v>
      </c>
    </row>
    <row r="1534" spans="1:35" ht="12.75">
      <c r="A1534" s="6"/>
      <c r="B1534" s="6"/>
      <c r="C1534" s="6"/>
      <c r="D1534" s="10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 t="str">
        <f ca="1">IFERROR(__xludf.DUMMYFUNCTION("""COMPUTED_VALUE"""),"#N/A")</f>
        <v>#N/A</v>
      </c>
    </row>
    <row r="1535" spans="1:35" ht="12.75">
      <c r="A1535" s="6"/>
      <c r="B1535" s="6"/>
      <c r="C1535" s="6"/>
      <c r="D1535" s="10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 t="str">
        <f ca="1">IFERROR(__xludf.DUMMYFUNCTION("""COMPUTED_VALUE"""),"#N/A")</f>
        <v>#N/A</v>
      </c>
    </row>
    <row r="1536" spans="1:35" ht="12.75">
      <c r="A1536" s="6"/>
      <c r="B1536" s="6"/>
      <c r="C1536" s="6"/>
      <c r="D1536" s="10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 t="str">
        <f ca="1">IFERROR(__xludf.DUMMYFUNCTION("""COMPUTED_VALUE"""),"#N/A")</f>
        <v>#N/A</v>
      </c>
    </row>
    <row r="1537" spans="1:35" ht="12.75">
      <c r="A1537" s="6"/>
      <c r="B1537" s="6"/>
      <c r="C1537" s="6"/>
      <c r="D1537" s="10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 t="str">
        <f ca="1">IFERROR(__xludf.DUMMYFUNCTION("""COMPUTED_VALUE"""),"#N/A")</f>
        <v>#N/A</v>
      </c>
    </row>
    <row r="1538" spans="1:35" ht="12.75">
      <c r="A1538" s="6"/>
      <c r="B1538" s="6"/>
      <c r="C1538" s="6"/>
      <c r="D1538" s="10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 t="str">
        <f ca="1">IFERROR(__xludf.DUMMYFUNCTION("""COMPUTED_VALUE"""),"#N/A")</f>
        <v>#N/A</v>
      </c>
    </row>
    <row r="1539" spans="1:35" ht="12.75">
      <c r="A1539" s="6"/>
      <c r="B1539" s="6"/>
      <c r="C1539" s="6"/>
      <c r="D1539" s="10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 t="str">
        <f ca="1">IFERROR(__xludf.DUMMYFUNCTION("""COMPUTED_VALUE"""),"#N/A")</f>
        <v>#N/A</v>
      </c>
    </row>
    <row r="1540" spans="1:35" ht="12.75">
      <c r="A1540" s="6"/>
      <c r="B1540" s="6"/>
      <c r="C1540" s="6"/>
      <c r="D1540" s="10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 t="str">
        <f ca="1">IFERROR(__xludf.DUMMYFUNCTION("""COMPUTED_VALUE"""),"#N/A")</f>
        <v>#N/A</v>
      </c>
    </row>
    <row r="1541" spans="1:35" ht="12.75">
      <c r="A1541" s="6"/>
      <c r="B1541" s="6"/>
      <c r="C1541" s="6"/>
      <c r="D1541" s="10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 t="str">
        <f ca="1">IFERROR(__xludf.DUMMYFUNCTION("""COMPUTED_VALUE"""),"#N/A")</f>
        <v>#N/A</v>
      </c>
    </row>
    <row r="1542" spans="1:35" ht="12.75">
      <c r="A1542" s="6"/>
      <c r="B1542" s="6"/>
      <c r="C1542" s="6"/>
      <c r="D1542" s="10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 t="str">
        <f ca="1">IFERROR(__xludf.DUMMYFUNCTION("""COMPUTED_VALUE"""),"#N/A")</f>
        <v>#N/A</v>
      </c>
    </row>
    <row r="1543" spans="1:35" ht="12.75">
      <c r="A1543" s="6"/>
      <c r="B1543" s="6"/>
      <c r="C1543" s="6"/>
      <c r="D1543" s="10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 t="str">
        <f ca="1">IFERROR(__xludf.DUMMYFUNCTION("""COMPUTED_VALUE"""),"#N/A")</f>
        <v>#N/A</v>
      </c>
    </row>
    <row r="1544" spans="1:35" ht="12.75">
      <c r="A1544" s="6"/>
      <c r="B1544" s="6"/>
      <c r="C1544" s="6"/>
      <c r="D1544" s="10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 t="str">
        <f ca="1">IFERROR(__xludf.DUMMYFUNCTION("""COMPUTED_VALUE"""),"#N/A")</f>
        <v>#N/A</v>
      </c>
    </row>
    <row r="1545" spans="1:35" ht="12.75">
      <c r="A1545" s="6"/>
      <c r="B1545" s="6"/>
      <c r="C1545" s="6"/>
      <c r="D1545" s="10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 t="str">
        <f ca="1">IFERROR(__xludf.DUMMYFUNCTION("""COMPUTED_VALUE"""),"#N/A")</f>
        <v>#N/A</v>
      </c>
    </row>
    <row r="1546" spans="1:35" ht="12.75">
      <c r="A1546" s="6"/>
      <c r="B1546" s="6"/>
      <c r="C1546" s="6"/>
      <c r="D1546" s="10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 t="str">
        <f ca="1">IFERROR(__xludf.DUMMYFUNCTION("""COMPUTED_VALUE"""),"#N/A")</f>
        <v>#N/A</v>
      </c>
    </row>
    <row r="1547" spans="1:35" ht="12.75">
      <c r="A1547" s="6"/>
      <c r="B1547" s="6"/>
      <c r="C1547" s="6"/>
      <c r="D1547" s="10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 t="str">
        <f ca="1">IFERROR(__xludf.DUMMYFUNCTION("""COMPUTED_VALUE"""),"#N/A")</f>
        <v>#N/A</v>
      </c>
    </row>
    <row r="1548" spans="1:35" ht="12.75">
      <c r="A1548" s="6"/>
      <c r="B1548" s="6"/>
      <c r="C1548" s="6"/>
      <c r="D1548" s="10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 t="str">
        <f ca="1">IFERROR(__xludf.DUMMYFUNCTION("""COMPUTED_VALUE"""),"#N/A")</f>
        <v>#N/A</v>
      </c>
    </row>
    <row r="1549" spans="1:35" ht="12.75">
      <c r="A1549" s="6"/>
      <c r="B1549" s="6"/>
      <c r="C1549" s="6"/>
      <c r="D1549" s="10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 t="str">
        <f ca="1">IFERROR(__xludf.DUMMYFUNCTION("""COMPUTED_VALUE"""),"#N/A")</f>
        <v>#N/A</v>
      </c>
    </row>
    <row r="1550" spans="1:35" ht="12.75">
      <c r="A1550" s="6"/>
      <c r="B1550" s="6"/>
      <c r="C1550" s="6"/>
      <c r="D1550" s="10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 t="str">
        <f ca="1">IFERROR(__xludf.DUMMYFUNCTION("""COMPUTED_VALUE"""),"#N/A")</f>
        <v>#N/A</v>
      </c>
    </row>
    <row r="1551" spans="1:35" ht="12.75">
      <c r="A1551" s="6"/>
      <c r="B1551" s="6"/>
      <c r="C1551" s="6"/>
      <c r="D1551" s="10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 t="str">
        <f ca="1">IFERROR(__xludf.DUMMYFUNCTION("""COMPUTED_VALUE"""),"#N/A")</f>
        <v>#N/A</v>
      </c>
    </row>
    <row r="1552" spans="1:35" ht="12.75">
      <c r="A1552" s="6"/>
      <c r="B1552" s="6"/>
      <c r="C1552" s="6"/>
      <c r="D1552" s="10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 t="str">
        <f ca="1">IFERROR(__xludf.DUMMYFUNCTION("""COMPUTED_VALUE"""),"#N/A")</f>
        <v>#N/A</v>
      </c>
    </row>
    <row r="1553" spans="1:35" ht="12.75">
      <c r="A1553" s="6"/>
      <c r="B1553" s="6"/>
      <c r="C1553" s="6"/>
      <c r="D1553" s="10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 t="str">
        <f ca="1">IFERROR(__xludf.DUMMYFUNCTION("""COMPUTED_VALUE"""),"#N/A")</f>
        <v>#N/A</v>
      </c>
    </row>
    <row r="1554" spans="1:35" ht="12.75">
      <c r="A1554" s="6"/>
      <c r="B1554" s="6"/>
      <c r="C1554" s="6"/>
      <c r="D1554" s="10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 t="str">
        <f ca="1">IFERROR(__xludf.DUMMYFUNCTION("""COMPUTED_VALUE"""),"#N/A")</f>
        <v>#N/A</v>
      </c>
    </row>
    <row r="1555" spans="1:35" ht="12.75">
      <c r="A1555" s="6"/>
      <c r="B1555" s="6"/>
      <c r="C1555" s="6"/>
      <c r="D1555" s="10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 t="str">
        <f ca="1">IFERROR(__xludf.DUMMYFUNCTION("""COMPUTED_VALUE"""),"#N/A")</f>
        <v>#N/A</v>
      </c>
    </row>
    <row r="1556" spans="1:35" ht="12.75">
      <c r="A1556" s="6"/>
      <c r="B1556" s="6"/>
      <c r="C1556" s="6"/>
      <c r="D1556" s="10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 t="str">
        <f ca="1">IFERROR(__xludf.DUMMYFUNCTION("""COMPUTED_VALUE"""),"#N/A")</f>
        <v>#N/A</v>
      </c>
    </row>
    <row r="1557" spans="1:35" ht="12.75">
      <c r="A1557" s="6"/>
      <c r="B1557" s="6"/>
      <c r="C1557" s="6"/>
      <c r="D1557" s="10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 t="str">
        <f ca="1">IFERROR(__xludf.DUMMYFUNCTION("""COMPUTED_VALUE"""),"#N/A")</f>
        <v>#N/A</v>
      </c>
    </row>
    <row r="1558" spans="1:35" ht="12.75">
      <c r="A1558" s="6"/>
      <c r="B1558" s="6"/>
      <c r="C1558" s="6"/>
      <c r="D1558" s="10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 t="str">
        <f ca="1">IFERROR(__xludf.DUMMYFUNCTION("""COMPUTED_VALUE"""),"#N/A")</f>
        <v>#N/A</v>
      </c>
    </row>
    <row r="1559" spans="1:35" ht="12.75">
      <c r="A1559" s="6"/>
      <c r="B1559" s="6"/>
      <c r="C1559" s="6"/>
      <c r="D1559" s="10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 t="str">
        <f ca="1">IFERROR(__xludf.DUMMYFUNCTION("""COMPUTED_VALUE"""),"#N/A")</f>
        <v>#N/A</v>
      </c>
    </row>
    <row r="1560" spans="1:35" ht="12.75">
      <c r="A1560" s="6"/>
      <c r="B1560" s="6"/>
      <c r="C1560" s="6"/>
      <c r="D1560" s="10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 t="str">
        <f ca="1">IFERROR(__xludf.DUMMYFUNCTION("""COMPUTED_VALUE"""),"#N/A")</f>
        <v>#N/A</v>
      </c>
    </row>
    <row r="1561" spans="1:35" ht="12.75">
      <c r="A1561" s="6"/>
      <c r="B1561" s="6"/>
      <c r="C1561" s="6"/>
      <c r="D1561" s="10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 t="str">
        <f ca="1">IFERROR(__xludf.DUMMYFUNCTION("""COMPUTED_VALUE"""),"#N/A")</f>
        <v>#N/A</v>
      </c>
    </row>
    <row r="1562" spans="1:35" ht="12.75">
      <c r="A1562" s="6"/>
      <c r="B1562" s="6"/>
      <c r="C1562" s="6"/>
      <c r="D1562" s="10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 t="str">
        <f ca="1">IFERROR(__xludf.DUMMYFUNCTION("""COMPUTED_VALUE"""),"#N/A")</f>
        <v>#N/A</v>
      </c>
    </row>
    <row r="1563" spans="1:35" ht="12.75">
      <c r="A1563" s="6"/>
      <c r="B1563" s="6"/>
      <c r="C1563" s="6"/>
      <c r="D1563" s="10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 t="str">
        <f ca="1">IFERROR(__xludf.DUMMYFUNCTION("""COMPUTED_VALUE"""),"#N/A")</f>
        <v>#N/A</v>
      </c>
    </row>
    <row r="1564" spans="1:35" ht="12.75">
      <c r="A1564" s="6"/>
      <c r="B1564" s="6"/>
      <c r="C1564" s="6"/>
      <c r="D1564" s="10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 t="str">
        <f ca="1">IFERROR(__xludf.DUMMYFUNCTION("""COMPUTED_VALUE"""),"#N/A")</f>
        <v>#N/A</v>
      </c>
    </row>
    <row r="1565" spans="1:35" ht="12.75">
      <c r="A1565" s="6"/>
      <c r="B1565" s="6"/>
      <c r="C1565" s="6"/>
      <c r="D1565" s="10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 t="str">
        <f ca="1">IFERROR(__xludf.DUMMYFUNCTION("""COMPUTED_VALUE"""),"#N/A")</f>
        <v>#N/A</v>
      </c>
    </row>
    <row r="1566" spans="1:35" ht="12.75">
      <c r="A1566" s="6"/>
      <c r="B1566" s="6"/>
      <c r="C1566" s="6"/>
      <c r="D1566" s="10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 t="str">
        <f ca="1">IFERROR(__xludf.DUMMYFUNCTION("""COMPUTED_VALUE"""),"#N/A")</f>
        <v>#N/A</v>
      </c>
    </row>
    <row r="1567" spans="1:35" ht="12.75">
      <c r="A1567" s="6"/>
      <c r="B1567" s="6"/>
      <c r="C1567" s="6"/>
      <c r="D1567" s="10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 t="str">
        <f ca="1">IFERROR(__xludf.DUMMYFUNCTION("""COMPUTED_VALUE"""),"#N/A")</f>
        <v>#N/A</v>
      </c>
    </row>
    <row r="1568" spans="1:35" ht="12.75">
      <c r="A1568" s="6"/>
      <c r="B1568" s="6"/>
      <c r="C1568" s="6"/>
      <c r="D1568" s="10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 t="str">
        <f ca="1">IFERROR(__xludf.DUMMYFUNCTION("""COMPUTED_VALUE"""),"#N/A")</f>
        <v>#N/A</v>
      </c>
    </row>
    <row r="1569" spans="1:35" ht="12.75">
      <c r="A1569" s="6"/>
      <c r="B1569" s="6"/>
      <c r="C1569" s="6"/>
      <c r="D1569" s="10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 t="str">
        <f ca="1">IFERROR(__xludf.DUMMYFUNCTION("""COMPUTED_VALUE"""),"#N/A")</f>
        <v>#N/A</v>
      </c>
    </row>
    <row r="1570" spans="1:35" ht="12.75">
      <c r="A1570" s="6"/>
      <c r="B1570" s="6"/>
      <c r="C1570" s="6"/>
      <c r="D1570" s="10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 t="str">
        <f ca="1">IFERROR(__xludf.DUMMYFUNCTION("""COMPUTED_VALUE"""),"#N/A")</f>
        <v>#N/A</v>
      </c>
    </row>
    <row r="1571" spans="1:35" ht="12.75">
      <c r="A1571" s="6"/>
      <c r="B1571" s="6"/>
      <c r="C1571" s="6"/>
      <c r="D1571" s="10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 t="str">
        <f ca="1">IFERROR(__xludf.DUMMYFUNCTION("""COMPUTED_VALUE"""),"#N/A")</f>
        <v>#N/A</v>
      </c>
    </row>
    <row r="1572" spans="1:35" ht="12.75">
      <c r="A1572" s="6"/>
      <c r="B1572" s="6"/>
      <c r="C1572" s="6"/>
      <c r="D1572" s="10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 t="str">
        <f ca="1">IFERROR(__xludf.DUMMYFUNCTION("""COMPUTED_VALUE"""),"#N/A")</f>
        <v>#N/A</v>
      </c>
    </row>
    <row r="1573" spans="1:35" ht="12.75">
      <c r="A1573" s="6"/>
      <c r="B1573" s="6"/>
      <c r="C1573" s="6"/>
      <c r="D1573" s="10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 t="str">
        <f ca="1">IFERROR(__xludf.DUMMYFUNCTION("""COMPUTED_VALUE"""),"#N/A")</f>
        <v>#N/A</v>
      </c>
    </row>
    <row r="1574" spans="1:35" ht="12.75">
      <c r="A1574" s="6"/>
      <c r="B1574" s="6"/>
      <c r="C1574" s="6"/>
      <c r="D1574" s="10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 t="str">
        <f ca="1">IFERROR(__xludf.DUMMYFUNCTION("""COMPUTED_VALUE"""),"#N/A")</f>
        <v>#N/A</v>
      </c>
    </row>
    <row r="1575" spans="1:35" ht="12.75">
      <c r="A1575" s="6"/>
      <c r="B1575" s="6"/>
      <c r="C1575" s="6"/>
      <c r="D1575" s="10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 t="str">
        <f ca="1">IFERROR(__xludf.DUMMYFUNCTION("""COMPUTED_VALUE"""),"#N/A")</f>
        <v>#N/A</v>
      </c>
    </row>
    <row r="1576" spans="1:35" ht="12.75">
      <c r="A1576" s="6"/>
      <c r="B1576" s="6"/>
      <c r="C1576" s="6"/>
      <c r="D1576" s="10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 t="str">
        <f ca="1">IFERROR(__xludf.DUMMYFUNCTION("""COMPUTED_VALUE"""),"#N/A")</f>
        <v>#N/A</v>
      </c>
    </row>
    <row r="1577" spans="1:35" ht="12.75">
      <c r="A1577" s="6"/>
      <c r="B1577" s="6"/>
      <c r="C1577" s="6"/>
      <c r="D1577" s="10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 t="str">
        <f ca="1">IFERROR(__xludf.DUMMYFUNCTION("""COMPUTED_VALUE"""),"#N/A")</f>
        <v>#N/A</v>
      </c>
    </row>
    <row r="1578" spans="1:35" ht="12.75">
      <c r="A1578" s="6"/>
      <c r="B1578" s="6"/>
      <c r="C1578" s="6"/>
      <c r="D1578" s="10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 t="str">
        <f ca="1">IFERROR(__xludf.DUMMYFUNCTION("""COMPUTED_VALUE"""),"#N/A")</f>
        <v>#N/A</v>
      </c>
    </row>
    <row r="1579" spans="1:35" ht="12.75">
      <c r="A1579" s="6"/>
      <c r="B1579" s="6"/>
      <c r="C1579" s="6"/>
      <c r="D1579" s="10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 t="str">
        <f ca="1">IFERROR(__xludf.DUMMYFUNCTION("""COMPUTED_VALUE"""),"#N/A")</f>
        <v>#N/A</v>
      </c>
    </row>
    <row r="1580" spans="1:35" ht="12.75">
      <c r="A1580" s="6"/>
      <c r="B1580" s="6"/>
      <c r="C1580" s="6"/>
      <c r="D1580" s="10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 t="str">
        <f ca="1">IFERROR(__xludf.DUMMYFUNCTION("""COMPUTED_VALUE"""),"#N/A")</f>
        <v>#N/A</v>
      </c>
    </row>
    <row r="1581" spans="1:35" ht="12.75">
      <c r="A1581" s="6"/>
      <c r="B1581" s="6"/>
      <c r="C1581" s="6"/>
      <c r="D1581" s="10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 t="str">
        <f ca="1">IFERROR(__xludf.DUMMYFUNCTION("""COMPUTED_VALUE"""),"#N/A")</f>
        <v>#N/A</v>
      </c>
    </row>
    <row r="1582" spans="1:35" ht="12.75">
      <c r="A1582" s="6"/>
      <c r="B1582" s="6"/>
      <c r="C1582" s="6"/>
      <c r="D1582" s="10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 t="str">
        <f ca="1">IFERROR(__xludf.DUMMYFUNCTION("""COMPUTED_VALUE"""),"#N/A")</f>
        <v>#N/A</v>
      </c>
    </row>
    <row r="1583" spans="1:35" ht="12.75">
      <c r="A1583" s="6"/>
      <c r="B1583" s="6"/>
      <c r="C1583" s="6"/>
      <c r="D1583" s="10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 t="str">
        <f ca="1">IFERROR(__xludf.DUMMYFUNCTION("""COMPUTED_VALUE"""),"#N/A")</f>
        <v>#N/A</v>
      </c>
    </row>
    <row r="1584" spans="1:35" ht="12.75">
      <c r="A1584" s="6"/>
      <c r="B1584" s="6"/>
      <c r="C1584" s="6"/>
      <c r="D1584" s="10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 t="str">
        <f ca="1">IFERROR(__xludf.DUMMYFUNCTION("""COMPUTED_VALUE"""),"#N/A")</f>
        <v>#N/A</v>
      </c>
    </row>
    <row r="1585" spans="1:35" ht="12.75">
      <c r="A1585" s="6"/>
      <c r="B1585" s="6"/>
      <c r="C1585" s="6"/>
      <c r="D1585" s="10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 t="str">
        <f ca="1">IFERROR(__xludf.DUMMYFUNCTION("""COMPUTED_VALUE"""),"#N/A")</f>
        <v>#N/A</v>
      </c>
    </row>
    <row r="1586" spans="1:35" ht="12.75">
      <c r="A1586" s="6"/>
      <c r="B1586" s="6"/>
      <c r="C1586" s="6"/>
      <c r="D1586" s="10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 t="str">
        <f ca="1">IFERROR(__xludf.DUMMYFUNCTION("""COMPUTED_VALUE"""),"#N/A")</f>
        <v>#N/A</v>
      </c>
    </row>
    <row r="1587" spans="1:35" ht="12.75">
      <c r="A1587" s="6"/>
      <c r="B1587" s="6"/>
      <c r="C1587" s="6"/>
      <c r="D1587" s="10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 t="str">
        <f ca="1">IFERROR(__xludf.DUMMYFUNCTION("""COMPUTED_VALUE"""),"#N/A")</f>
        <v>#N/A</v>
      </c>
    </row>
    <row r="1588" spans="1:35" ht="12.75">
      <c r="A1588" s="6"/>
      <c r="B1588" s="6"/>
      <c r="C1588" s="6"/>
      <c r="D1588" s="10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 t="str">
        <f ca="1">IFERROR(__xludf.DUMMYFUNCTION("""COMPUTED_VALUE"""),"#N/A")</f>
        <v>#N/A</v>
      </c>
    </row>
    <row r="1589" spans="1:35" ht="12.75">
      <c r="A1589" s="6"/>
      <c r="B1589" s="6"/>
      <c r="C1589" s="6"/>
      <c r="D1589" s="10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 t="str">
        <f ca="1">IFERROR(__xludf.DUMMYFUNCTION("""COMPUTED_VALUE"""),"#N/A")</f>
        <v>#N/A</v>
      </c>
    </row>
    <row r="1590" spans="1:35" ht="12.75">
      <c r="A1590" s="6"/>
      <c r="B1590" s="6"/>
      <c r="C1590" s="6"/>
      <c r="D1590" s="10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 t="str">
        <f ca="1">IFERROR(__xludf.DUMMYFUNCTION("""COMPUTED_VALUE"""),"#N/A")</f>
        <v>#N/A</v>
      </c>
    </row>
    <row r="1591" spans="1:35" ht="12.75">
      <c r="A1591" s="6"/>
      <c r="B1591" s="6"/>
      <c r="C1591" s="6"/>
      <c r="D1591" s="10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 t="str">
        <f ca="1">IFERROR(__xludf.DUMMYFUNCTION("""COMPUTED_VALUE"""),"#N/A")</f>
        <v>#N/A</v>
      </c>
    </row>
    <row r="1592" spans="1:35" ht="12.75">
      <c r="A1592" s="6"/>
      <c r="B1592" s="6"/>
      <c r="C1592" s="6"/>
      <c r="D1592" s="10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 t="str">
        <f ca="1">IFERROR(__xludf.DUMMYFUNCTION("""COMPUTED_VALUE"""),"#N/A")</f>
        <v>#N/A</v>
      </c>
    </row>
    <row r="1593" spans="1:35" ht="12.75">
      <c r="A1593" s="6"/>
      <c r="B1593" s="6"/>
      <c r="C1593" s="6"/>
      <c r="D1593" s="10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 t="str">
        <f ca="1">IFERROR(__xludf.DUMMYFUNCTION("""COMPUTED_VALUE"""),"#N/A")</f>
        <v>#N/A</v>
      </c>
    </row>
    <row r="1594" spans="1:35" ht="12.75">
      <c r="A1594" s="6"/>
      <c r="B1594" s="6"/>
      <c r="C1594" s="6"/>
      <c r="D1594" s="10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 t="str">
        <f ca="1">IFERROR(__xludf.DUMMYFUNCTION("""COMPUTED_VALUE"""),"#N/A")</f>
        <v>#N/A</v>
      </c>
    </row>
    <row r="1595" spans="1:35" ht="12.75">
      <c r="A1595" s="6"/>
      <c r="B1595" s="6"/>
      <c r="C1595" s="6"/>
      <c r="D1595" s="10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 t="str">
        <f ca="1">IFERROR(__xludf.DUMMYFUNCTION("""COMPUTED_VALUE"""),"#N/A")</f>
        <v>#N/A</v>
      </c>
    </row>
    <row r="1596" spans="1:35" ht="12.75">
      <c r="A1596" s="6"/>
      <c r="B1596" s="6"/>
      <c r="C1596" s="6"/>
      <c r="D1596" s="10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 t="str">
        <f ca="1">IFERROR(__xludf.DUMMYFUNCTION("""COMPUTED_VALUE"""),"#N/A")</f>
        <v>#N/A</v>
      </c>
    </row>
    <row r="1597" spans="1:35" ht="12.75">
      <c r="A1597" s="6"/>
      <c r="B1597" s="6"/>
      <c r="C1597" s="6"/>
      <c r="D1597" s="10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 t="str">
        <f ca="1">IFERROR(__xludf.DUMMYFUNCTION("""COMPUTED_VALUE"""),"#N/A")</f>
        <v>#N/A</v>
      </c>
    </row>
    <row r="1598" spans="1:35" ht="12.75">
      <c r="A1598" s="6"/>
      <c r="B1598" s="6"/>
      <c r="C1598" s="6"/>
      <c r="D1598" s="10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 t="str">
        <f ca="1">IFERROR(__xludf.DUMMYFUNCTION("""COMPUTED_VALUE"""),"#N/A")</f>
        <v>#N/A</v>
      </c>
    </row>
    <row r="1599" spans="1:35" ht="12.75">
      <c r="A1599" s="6"/>
      <c r="B1599" s="6"/>
      <c r="C1599" s="6"/>
      <c r="D1599" s="10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 t="str">
        <f ca="1">IFERROR(__xludf.DUMMYFUNCTION("""COMPUTED_VALUE"""),"#N/A")</f>
        <v>#N/A</v>
      </c>
    </row>
    <row r="1600" spans="1:35" ht="12.75">
      <c r="A1600" s="6"/>
      <c r="B1600" s="6"/>
      <c r="C1600" s="6"/>
      <c r="D1600" s="10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 t="str">
        <f ca="1">IFERROR(__xludf.DUMMYFUNCTION("""COMPUTED_VALUE"""),"#N/A")</f>
        <v>#N/A</v>
      </c>
    </row>
    <row r="1601" spans="1:35" ht="12.75">
      <c r="A1601" s="6"/>
      <c r="B1601" s="6"/>
      <c r="C1601" s="6"/>
      <c r="D1601" s="10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 t="str">
        <f ca="1">IFERROR(__xludf.DUMMYFUNCTION("""COMPUTED_VALUE"""),"#N/A")</f>
        <v>#N/A</v>
      </c>
    </row>
    <row r="1602" spans="1:35" ht="12.75">
      <c r="A1602" s="6"/>
      <c r="B1602" s="6"/>
      <c r="C1602" s="6"/>
      <c r="D1602" s="10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 t="str">
        <f ca="1">IFERROR(__xludf.DUMMYFUNCTION("""COMPUTED_VALUE"""),"#N/A")</f>
        <v>#N/A</v>
      </c>
    </row>
    <row r="1603" spans="1:35" ht="12.75">
      <c r="A1603" s="6"/>
      <c r="B1603" s="6"/>
      <c r="C1603" s="6"/>
      <c r="D1603" s="10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 t="str">
        <f ca="1">IFERROR(__xludf.DUMMYFUNCTION("""COMPUTED_VALUE"""),"#N/A")</f>
        <v>#N/A</v>
      </c>
    </row>
    <row r="1604" spans="1:35" ht="12.75">
      <c r="A1604" s="6"/>
      <c r="B1604" s="6"/>
      <c r="C1604" s="6"/>
      <c r="D1604" s="10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 t="str">
        <f ca="1">IFERROR(__xludf.DUMMYFUNCTION("""COMPUTED_VALUE"""),"#N/A")</f>
        <v>#N/A</v>
      </c>
    </row>
    <row r="1605" spans="1:35" ht="12.75">
      <c r="A1605" s="6"/>
      <c r="B1605" s="6"/>
      <c r="C1605" s="6"/>
      <c r="D1605" s="10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 t="str">
        <f ca="1">IFERROR(__xludf.DUMMYFUNCTION("""COMPUTED_VALUE"""),"#N/A")</f>
        <v>#N/A</v>
      </c>
    </row>
    <row r="1606" spans="1:35" ht="12.75">
      <c r="A1606" s="6"/>
      <c r="B1606" s="6"/>
      <c r="C1606" s="6"/>
      <c r="D1606" s="10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 t="str">
        <f ca="1">IFERROR(__xludf.DUMMYFUNCTION("""COMPUTED_VALUE"""),"#N/A")</f>
        <v>#N/A</v>
      </c>
    </row>
    <row r="1607" spans="1:35" ht="12.75">
      <c r="A1607" s="6"/>
      <c r="B1607" s="6"/>
      <c r="C1607" s="6"/>
      <c r="D1607" s="10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 t="str">
        <f ca="1">IFERROR(__xludf.DUMMYFUNCTION("""COMPUTED_VALUE"""),"#N/A")</f>
        <v>#N/A</v>
      </c>
    </row>
    <row r="1608" spans="1:35" ht="12.75">
      <c r="A1608" s="6"/>
      <c r="B1608" s="6"/>
      <c r="C1608" s="6"/>
      <c r="D1608" s="10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 t="str">
        <f ca="1">IFERROR(__xludf.DUMMYFUNCTION("""COMPUTED_VALUE"""),"#N/A")</f>
        <v>#N/A</v>
      </c>
    </row>
    <row r="1609" spans="1:35" ht="12.75">
      <c r="A1609" s="6"/>
      <c r="B1609" s="6"/>
      <c r="C1609" s="6"/>
      <c r="D1609" s="10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 t="str">
        <f ca="1">IFERROR(__xludf.DUMMYFUNCTION("""COMPUTED_VALUE"""),"#N/A")</f>
        <v>#N/A</v>
      </c>
    </row>
    <row r="1610" spans="1:35" ht="12.75">
      <c r="A1610" s="6"/>
      <c r="B1610" s="6"/>
      <c r="C1610" s="6"/>
      <c r="D1610" s="10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 t="str">
        <f ca="1">IFERROR(__xludf.DUMMYFUNCTION("""COMPUTED_VALUE"""),"#N/A")</f>
        <v>#N/A</v>
      </c>
    </row>
    <row r="1611" spans="1:35" ht="12.75">
      <c r="A1611" s="6"/>
      <c r="B1611" s="6"/>
      <c r="C1611" s="6"/>
      <c r="D1611" s="10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 t="str">
        <f ca="1">IFERROR(__xludf.DUMMYFUNCTION("""COMPUTED_VALUE"""),"#N/A")</f>
        <v>#N/A</v>
      </c>
    </row>
    <row r="1612" spans="1:35" ht="12.75">
      <c r="A1612" s="6"/>
      <c r="B1612" s="6"/>
      <c r="C1612" s="6"/>
      <c r="D1612" s="10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 t="str">
        <f ca="1">IFERROR(__xludf.DUMMYFUNCTION("""COMPUTED_VALUE"""),"#N/A")</f>
        <v>#N/A</v>
      </c>
    </row>
    <row r="1613" spans="1:35" ht="12.75">
      <c r="A1613" s="6"/>
      <c r="B1613" s="6"/>
      <c r="C1613" s="6"/>
      <c r="D1613" s="10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 t="str">
        <f ca="1">IFERROR(__xludf.DUMMYFUNCTION("""COMPUTED_VALUE"""),"#N/A")</f>
        <v>#N/A</v>
      </c>
    </row>
    <row r="1614" spans="1:35" ht="12.75">
      <c r="A1614" s="6"/>
      <c r="B1614" s="6"/>
      <c r="C1614" s="6"/>
      <c r="D1614" s="10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 t="str">
        <f ca="1">IFERROR(__xludf.DUMMYFUNCTION("""COMPUTED_VALUE"""),"#N/A")</f>
        <v>#N/A</v>
      </c>
    </row>
    <row r="1615" spans="1:35" ht="12.75">
      <c r="A1615" s="6"/>
      <c r="B1615" s="6"/>
      <c r="C1615" s="6"/>
      <c r="D1615" s="10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 t="str">
        <f ca="1">IFERROR(__xludf.DUMMYFUNCTION("""COMPUTED_VALUE"""),"#N/A")</f>
        <v>#N/A</v>
      </c>
    </row>
    <row r="1616" spans="1:35" ht="12.75">
      <c r="A1616" s="6"/>
      <c r="B1616" s="6"/>
      <c r="C1616" s="6"/>
      <c r="D1616" s="10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 t="str">
        <f ca="1">IFERROR(__xludf.DUMMYFUNCTION("""COMPUTED_VALUE"""),"#N/A")</f>
        <v>#N/A</v>
      </c>
    </row>
    <row r="1617" spans="1:35" ht="12.75">
      <c r="A1617" s="6"/>
      <c r="B1617" s="6"/>
      <c r="C1617" s="6"/>
      <c r="D1617" s="10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 t="str">
        <f ca="1">IFERROR(__xludf.DUMMYFUNCTION("""COMPUTED_VALUE"""),"#N/A")</f>
        <v>#N/A</v>
      </c>
    </row>
    <row r="1618" spans="1:35" ht="12.75">
      <c r="A1618" s="6"/>
      <c r="B1618" s="6"/>
      <c r="C1618" s="6"/>
      <c r="D1618" s="10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 t="str">
        <f ca="1">IFERROR(__xludf.DUMMYFUNCTION("""COMPUTED_VALUE"""),"#N/A")</f>
        <v>#N/A</v>
      </c>
    </row>
    <row r="1619" spans="1:35" ht="12.75">
      <c r="A1619" s="6"/>
      <c r="B1619" s="6"/>
      <c r="C1619" s="6"/>
      <c r="D1619" s="10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 t="str">
        <f ca="1">IFERROR(__xludf.DUMMYFUNCTION("""COMPUTED_VALUE"""),"#N/A")</f>
        <v>#N/A</v>
      </c>
    </row>
    <row r="1620" spans="1:35" ht="12.75">
      <c r="A1620" s="6"/>
      <c r="B1620" s="6"/>
      <c r="C1620" s="6"/>
      <c r="D1620" s="10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 t="str">
        <f ca="1">IFERROR(__xludf.DUMMYFUNCTION("""COMPUTED_VALUE"""),"#N/A")</f>
        <v>#N/A</v>
      </c>
    </row>
    <row r="1621" spans="1:35" ht="12.75">
      <c r="A1621" s="6"/>
      <c r="B1621" s="6"/>
      <c r="C1621" s="6"/>
      <c r="D1621" s="10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 t="str">
        <f ca="1">IFERROR(__xludf.DUMMYFUNCTION("""COMPUTED_VALUE"""),"#N/A")</f>
        <v>#N/A</v>
      </c>
    </row>
    <row r="1622" spans="1:35" ht="12.75">
      <c r="A1622" s="6"/>
      <c r="B1622" s="6"/>
      <c r="C1622" s="6"/>
      <c r="D1622" s="10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 t="str">
        <f ca="1">IFERROR(__xludf.DUMMYFUNCTION("""COMPUTED_VALUE"""),"#N/A")</f>
        <v>#N/A</v>
      </c>
    </row>
    <row r="1623" spans="1:35" ht="12.75">
      <c r="A1623" s="6"/>
      <c r="B1623" s="6"/>
      <c r="C1623" s="6"/>
      <c r="D1623" s="10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 t="str">
        <f ca="1">IFERROR(__xludf.DUMMYFUNCTION("""COMPUTED_VALUE"""),"#N/A")</f>
        <v>#N/A</v>
      </c>
    </row>
    <row r="1624" spans="1:35" ht="12.75">
      <c r="A1624" s="6"/>
      <c r="B1624" s="6"/>
      <c r="C1624" s="6"/>
      <c r="D1624" s="10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 t="str">
        <f ca="1">IFERROR(__xludf.DUMMYFUNCTION("""COMPUTED_VALUE"""),"#N/A")</f>
        <v>#N/A</v>
      </c>
    </row>
    <row r="1625" spans="1:35" ht="12.75">
      <c r="A1625" s="6"/>
      <c r="B1625" s="6"/>
      <c r="C1625" s="6"/>
      <c r="D1625" s="10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 t="str">
        <f ca="1">IFERROR(__xludf.DUMMYFUNCTION("""COMPUTED_VALUE"""),"#N/A")</f>
        <v>#N/A</v>
      </c>
    </row>
    <row r="1626" spans="1:35" ht="12.75">
      <c r="A1626" s="6"/>
      <c r="B1626" s="6"/>
      <c r="C1626" s="6"/>
      <c r="D1626" s="10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 t="str">
        <f ca="1">IFERROR(__xludf.DUMMYFUNCTION("""COMPUTED_VALUE"""),"#N/A")</f>
        <v>#N/A</v>
      </c>
    </row>
    <row r="1627" spans="1:35" ht="12.75">
      <c r="A1627" s="6"/>
      <c r="B1627" s="6"/>
      <c r="C1627" s="6"/>
      <c r="D1627" s="10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 t="str">
        <f ca="1">IFERROR(__xludf.DUMMYFUNCTION("""COMPUTED_VALUE"""),"#N/A")</f>
        <v>#N/A</v>
      </c>
    </row>
    <row r="1628" spans="1:35" ht="12.75">
      <c r="A1628" s="6"/>
      <c r="B1628" s="6"/>
      <c r="C1628" s="6"/>
      <c r="D1628" s="10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 t="str">
        <f ca="1">IFERROR(__xludf.DUMMYFUNCTION("""COMPUTED_VALUE"""),"#N/A")</f>
        <v>#N/A</v>
      </c>
    </row>
    <row r="1629" spans="1:35" ht="12.75">
      <c r="A1629" s="6"/>
      <c r="B1629" s="6"/>
      <c r="C1629" s="6"/>
      <c r="D1629" s="10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 t="str">
        <f ca="1">IFERROR(__xludf.DUMMYFUNCTION("""COMPUTED_VALUE"""),"#N/A")</f>
        <v>#N/A</v>
      </c>
    </row>
    <row r="1630" spans="1:35" ht="12.75">
      <c r="A1630" s="6"/>
      <c r="B1630" s="6"/>
      <c r="C1630" s="6"/>
      <c r="D1630" s="10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 t="str">
        <f ca="1">IFERROR(__xludf.DUMMYFUNCTION("""COMPUTED_VALUE"""),"#N/A")</f>
        <v>#N/A</v>
      </c>
    </row>
    <row r="1631" spans="1:35" ht="12.75">
      <c r="A1631" s="6"/>
      <c r="B1631" s="6"/>
      <c r="C1631" s="6"/>
      <c r="D1631" s="10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 t="str">
        <f ca="1">IFERROR(__xludf.DUMMYFUNCTION("""COMPUTED_VALUE"""),"#N/A")</f>
        <v>#N/A</v>
      </c>
    </row>
    <row r="1632" spans="1:35" ht="12.75">
      <c r="A1632" s="6"/>
      <c r="B1632" s="6"/>
      <c r="C1632" s="6"/>
      <c r="D1632" s="10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 t="str">
        <f ca="1">IFERROR(__xludf.DUMMYFUNCTION("""COMPUTED_VALUE"""),"#N/A")</f>
        <v>#N/A</v>
      </c>
    </row>
    <row r="1633" spans="1:35" ht="12.75">
      <c r="A1633" s="6"/>
      <c r="B1633" s="6"/>
      <c r="C1633" s="6"/>
      <c r="D1633" s="10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 t="str">
        <f ca="1">IFERROR(__xludf.DUMMYFUNCTION("""COMPUTED_VALUE"""),"#N/A")</f>
        <v>#N/A</v>
      </c>
    </row>
    <row r="1634" spans="1:35" ht="12.75">
      <c r="A1634" s="6"/>
      <c r="B1634" s="6"/>
      <c r="C1634" s="6"/>
      <c r="D1634" s="10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 t="str">
        <f ca="1">IFERROR(__xludf.DUMMYFUNCTION("""COMPUTED_VALUE"""),"#N/A")</f>
        <v>#N/A</v>
      </c>
    </row>
    <row r="1635" spans="1:35" ht="12.75">
      <c r="A1635" s="6"/>
      <c r="B1635" s="6"/>
      <c r="C1635" s="6"/>
      <c r="D1635" s="10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 t="str">
        <f ca="1">IFERROR(__xludf.DUMMYFUNCTION("""COMPUTED_VALUE"""),"#N/A")</f>
        <v>#N/A</v>
      </c>
    </row>
    <row r="1636" spans="1:35" ht="12.75">
      <c r="A1636" s="6"/>
      <c r="B1636" s="6"/>
      <c r="C1636" s="6"/>
      <c r="D1636" s="10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 t="str">
        <f ca="1">IFERROR(__xludf.DUMMYFUNCTION("""COMPUTED_VALUE"""),"#N/A")</f>
        <v>#N/A</v>
      </c>
    </row>
    <row r="1637" spans="1:35" ht="12.75">
      <c r="A1637" s="6"/>
      <c r="B1637" s="6"/>
      <c r="C1637" s="6"/>
      <c r="D1637" s="10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 t="str">
        <f ca="1">IFERROR(__xludf.DUMMYFUNCTION("""COMPUTED_VALUE"""),"#N/A")</f>
        <v>#N/A</v>
      </c>
    </row>
    <row r="1638" spans="1:35" ht="12.75">
      <c r="A1638" s="6"/>
      <c r="B1638" s="6"/>
      <c r="C1638" s="6"/>
      <c r="D1638" s="10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 t="str">
        <f ca="1">IFERROR(__xludf.DUMMYFUNCTION("""COMPUTED_VALUE"""),"#N/A")</f>
        <v>#N/A</v>
      </c>
    </row>
    <row r="1639" spans="1:35" ht="12.75">
      <c r="A1639" s="6"/>
      <c r="B1639" s="6"/>
      <c r="C1639" s="6"/>
      <c r="D1639" s="10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 t="str">
        <f ca="1">IFERROR(__xludf.DUMMYFUNCTION("""COMPUTED_VALUE"""),"#N/A")</f>
        <v>#N/A</v>
      </c>
    </row>
    <row r="1640" spans="1:35" ht="12.75">
      <c r="A1640" s="6"/>
      <c r="B1640" s="6"/>
      <c r="C1640" s="6"/>
      <c r="D1640" s="10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 t="str">
        <f ca="1">IFERROR(__xludf.DUMMYFUNCTION("""COMPUTED_VALUE"""),"#N/A")</f>
        <v>#N/A</v>
      </c>
    </row>
    <row r="1641" spans="1:35" ht="12.75">
      <c r="A1641" s="6"/>
      <c r="B1641" s="6"/>
      <c r="C1641" s="6"/>
      <c r="D1641" s="10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 t="str">
        <f ca="1">IFERROR(__xludf.DUMMYFUNCTION("""COMPUTED_VALUE"""),"#N/A")</f>
        <v>#N/A</v>
      </c>
    </row>
    <row r="1642" spans="1:35" ht="12.75">
      <c r="A1642" s="6"/>
      <c r="B1642" s="6"/>
      <c r="C1642" s="6"/>
      <c r="D1642" s="10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 t="str">
        <f ca="1">IFERROR(__xludf.DUMMYFUNCTION("""COMPUTED_VALUE"""),"#N/A")</f>
        <v>#N/A</v>
      </c>
    </row>
    <row r="1643" spans="1:35" ht="12.75">
      <c r="A1643" s="6"/>
      <c r="B1643" s="6"/>
      <c r="C1643" s="6"/>
      <c r="D1643" s="10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 t="str">
        <f ca="1">IFERROR(__xludf.DUMMYFUNCTION("""COMPUTED_VALUE"""),"#N/A")</f>
        <v>#N/A</v>
      </c>
    </row>
    <row r="1644" spans="1:35" ht="12.75">
      <c r="A1644" s="6"/>
      <c r="B1644" s="6"/>
      <c r="C1644" s="6"/>
      <c r="D1644" s="10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 t="str">
        <f ca="1">IFERROR(__xludf.DUMMYFUNCTION("""COMPUTED_VALUE"""),"#N/A")</f>
        <v>#N/A</v>
      </c>
    </row>
    <row r="1645" spans="1:35" ht="12.75">
      <c r="A1645" s="6"/>
      <c r="B1645" s="6"/>
      <c r="C1645" s="6"/>
      <c r="D1645" s="10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 t="str">
        <f ca="1">IFERROR(__xludf.DUMMYFUNCTION("""COMPUTED_VALUE"""),"#N/A")</f>
        <v>#N/A</v>
      </c>
    </row>
    <row r="1646" spans="1:35" ht="12.75">
      <c r="A1646" s="6"/>
      <c r="B1646" s="6"/>
      <c r="C1646" s="6"/>
      <c r="D1646" s="10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 t="str">
        <f ca="1">IFERROR(__xludf.DUMMYFUNCTION("""COMPUTED_VALUE"""),"#N/A")</f>
        <v>#N/A</v>
      </c>
    </row>
    <row r="1647" spans="1:35" ht="12.75">
      <c r="A1647" s="6"/>
      <c r="B1647" s="6"/>
      <c r="C1647" s="6"/>
      <c r="D1647" s="10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 t="str">
        <f ca="1">IFERROR(__xludf.DUMMYFUNCTION("""COMPUTED_VALUE"""),"#N/A")</f>
        <v>#N/A</v>
      </c>
    </row>
    <row r="1648" spans="1:35" ht="12.75">
      <c r="A1648" s="6"/>
      <c r="B1648" s="6"/>
      <c r="C1648" s="6"/>
      <c r="D1648" s="10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 t="str">
        <f ca="1">IFERROR(__xludf.DUMMYFUNCTION("""COMPUTED_VALUE"""),"#N/A")</f>
        <v>#N/A</v>
      </c>
    </row>
    <row r="1649" spans="1:35" ht="12.75">
      <c r="A1649" s="6"/>
      <c r="B1649" s="6"/>
      <c r="C1649" s="6"/>
      <c r="D1649" s="10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 t="str">
        <f ca="1">IFERROR(__xludf.DUMMYFUNCTION("""COMPUTED_VALUE"""),"#N/A")</f>
        <v>#N/A</v>
      </c>
    </row>
    <row r="1650" spans="1:35" ht="12.75">
      <c r="A1650" s="6"/>
      <c r="B1650" s="6"/>
      <c r="C1650" s="6"/>
      <c r="D1650" s="10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 t="str">
        <f ca="1">IFERROR(__xludf.DUMMYFUNCTION("""COMPUTED_VALUE"""),"#N/A")</f>
        <v>#N/A</v>
      </c>
    </row>
    <row r="1651" spans="1:35" ht="12.75">
      <c r="A1651" s="6"/>
      <c r="B1651" s="6"/>
      <c r="C1651" s="6"/>
      <c r="D1651" s="10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 t="str">
        <f ca="1">IFERROR(__xludf.DUMMYFUNCTION("""COMPUTED_VALUE"""),"#N/A")</f>
        <v>#N/A</v>
      </c>
    </row>
    <row r="1652" spans="1:35" ht="12.75">
      <c r="A1652" s="6"/>
      <c r="B1652" s="6"/>
      <c r="C1652" s="6"/>
      <c r="D1652" s="10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 t="str">
        <f ca="1">IFERROR(__xludf.DUMMYFUNCTION("""COMPUTED_VALUE"""),"#N/A")</f>
        <v>#N/A</v>
      </c>
    </row>
    <row r="1653" spans="1:35" ht="12.75">
      <c r="A1653" s="6"/>
      <c r="B1653" s="6"/>
      <c r="C1653" s="6"/>
      <c r="D1653" s="10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 t="str">
        <f ca="1">IFERROR(__xludf.DUMMYFUNCTION("""COMPUTED_VALUE"""),"#N/A")</f>
        <v>#N/A</v>
      </c>
    </row>
    <row r="1654" spans="1:35" ht="12.75">
      <c r="A1654" s="6"/>
      <c r="B1654" s="6"/>
      <c r="C1654" s="6"/>
      <c r="D1654" s="10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 t="str">
        <f ca="1">IFERROR(__xludf.DUMMYFUNCTION("""COMPUTED_VALUE"""),"#N/A")</f>
        <v>#N/A</v>
      </c>
    </row>
    <row r="1655" spans="1:35" ht="12.75">
      <c r="A1655" s="6"/>
      <c r="B1655" s="6"/>
      <c r="C1655" s="6"/>
      <c r="D1655" s="10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 t="str">
        <f ca="1">IFERROR(__xludf.DUMMYFUNCTION("""COMPUTED_VALUE"""),"#N/A")</f>
        <v>#N/A</v>
      </c>
    </row>
    <row r="1656" spans="1:35" ht="12.75">
      <c r="A1656" s="6"/>
      <c r="B1656" s="6"/>
      <c r="C1656" s="6"/>
      <c r="D1656" s="10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 t="str">
        <f ca="1">IFERROR(__xludf.DUMMYFUNCTION("""COMPUTED_VALUE"""),"#N/A")</f>
        <v>#N/A</v>
      </c>
    </row>
    <row r="1657" spans="1:35" ht="12.75">
      <c r="A1657" s="6"/>
      <c r="B1657" s="6"/>
      <c r="C1657" s="6"/>
      <c r="D1657" s="10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 t="str">
        <f ca="1">IFERROR(__xludf.DUMMYFUNCTION("""COMPUTED_VALUE"""),"#N/A")</f>
        <v>#N/A</v>
      </c>
    </row>
    <row r="1658" spans="1:35" ht="12.75">
      <c r="A1658" s="6"/>
      <c r="B1658" s="6"/>
      <c r="C1658" s="6"/>
      <c r="D1658" s="10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 t="str">
        <f ca="1">IFERROR(__xludf.DUMMYFUNCTION("""COMPUTED_VALUE"""),"#N/A")</f>
        <v>#N/A</v>
      </c>
    </row>
    <row r="1659" spans="1:35" ht="12.75">
      <c r="A1659" s="6"/>
      <c r="B1659" s="6"/>
      <c r="C1659" s="6"/>
      <c r="D1659" s="10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 t="str">
        <f ca="1">IFERROR(__xludf.DUMMYFUNCTION("""COMPUTED_VALUE"""),"#N/A")</f>
        <v>#N/A</v>
      </c>
    </row>
    <row r="1660" spans="1:35" ht="12.75">
      <c r="A1660" s="6"/>
      <c r="B1660" s="6"/>
      <c r="C1660" s="6"/>
      <c r="D1660" s="10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 t="str">
        <f ca="1">IFERROR(__xludf.DUMMYFUNCTION("""COMPUTED_VALUE"""),"#N/A")</f>
        <v>#N/A</v>
      </c>
    </row>
    <row r="1661" spans="1:35" ht="12.75">
      <c r="A1661" s="6"/>
      <c r="B1661" s="6"/>
      <c r="C1661" s="6"/>
      <c r="D1661" s="10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 t="str">
        <f ca="1">IFERROR(__xludf.DUMMYFUNCTION("""COMPUTED_VALUE"""),"#N/A")</f>
        <v>#N/A</v>
      </c>
    </row>
    <row r="1662" spans="1:35" ht="12.75">
      <c r="A1662" s="6"/>
      <c r="B1662" s="6"/>
      <c r="C1662" s="6"/>
      <c r="D1662" s="10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 t="str">
        <f ca="1">IFERROR(__xludf.DUMMYFUNCTION("""COMPUTED_VALUE"""),"#N/A")</f>
        <v>#N/A</v>
      </c>
    </row>
    <row r="1663" spans="1:35" ht="12.75">
      <c r="A1663" s="6"/>
      <c r="B1663" s="6"/>
      <c r="C1663" s="6"/>
      <c r="D1663" s="10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 t="str">
        <f ca="1">IFERROR(__xludf.DUMMYFUNCTION("""COMPUTED_VALUE"""),"#N/A")</f>
        <v>#N/A</v>
      </c>
    </row>
    <row r="1664" spans="1:35" ht="12.75">
      <c r="A1664" s="6"/>
      <c r="B1664" s="6"/>
      <c r="C1664" s="6"/>
      <c r="D1664" s="10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 t="str">
        <f ca="1">IFERROR(__xludf.DUMMYFUNCTION("""COMPUTED_VALUE"""),"#N/A")</f>
        <v>#N/A</v>
      </c>
    </row>
    <row r="1665" spans="1:35" ht="12.75">
      <c r="A1665" s="6"/>
      <c r="B1665" s="6"/>
      <c r="C1665" s="6"/>
      <c r="D1665" s="10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 t="str">
        <f ca="1">IFERROR(__xludf.DUMMYFUNCTION("""COMPUTED_VALUE"""),"#N/A")</f>
        <v>#N/A</v>
      </c>
    </row>
    <row r="1666" spans="1:35" ht="12.75">
      <c r="A1666" s="6"/>
      <c r="B1666" s="6"/>
      <c r="C1666" s="6"/>
      <c r="D1666" s="10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 t="str">
        <f ca="1">IFERROR(__xludf.DUMMYFUNCTION("""COMPUTED_VALUE"""),"#N/A")</f>
        <v>#N/A</v>
      </c>
    </row>
    <row r="1667" spans="1:35" ht="12.75">
      <c r="A1667" s="6"/>
      <c r="B1667" s="6"/>
      <c r="C1667" s="6"/>
      <c r="D1667" s="10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 t="str">
        <f ca="1">IFERROR(__xludf.DUMMYFUNCTION("""COMPUTED_VALUE"""),"#N/A")</f>
        <v>#N/A</v>
      </c>
    </row>
    <row r="1668" spans="1:35" ht="12.75">
      <c r="A1668" s="6"/>
      <c r="B1668" s="6"/>
      <c r="C1668" s="6"/>
      <c r="D1668" s="10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 t="str">
        <f ca="1">IFERROR(__xludf.DUMMYFUNCTION("""COMPUTED_VALUE"""),"#N/A")</f>
        <v>#N/A</v>
      </c>
    </row>
    <row r="1669" spans="1:35" ht="12.75">
      <c r="A1669" s="6"/>
      <c r="B1669" s="6"/>
      <c r="C1669" s="6"/>
      <c r="D1669" s="10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 t="str">
        <f ca="1">IFERROR(__xludf.DUMMYFUNCTION("""COMPUTED_VALUE"""),"#N/A")</f>
        <v>#N/A</v>
      </c>
    </row>
    <row r="1670" spans="1:35" ht="12.75">
      <c r="A1670" s="6"/>
      <c r="B1670" s="6"/>
      <c r="C1670" s="6"/>
      <c r="D1670" s="10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 t="str">
        <f ca="1">IFERROR(__xludf.DUMMYFUNCTION("""COMPUTED_VALUE"""),"#N/A")</f>
        <v>#N/A</v>
      </c>
    </row>
    <row r="1671" spans="1:35" ht="12.75">
      <c r="A1671" s="6"/>
      <c r="B1671" s="6"/>
      <c r="C1671" s="6"/>
      <c r="D1671" s="10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 t="str">
        <f ca="1">IFERROR(__xludf.DUMMYFUNCTION("""COMPUTED_VALUE"""),"#N/A")</f>
        <v>#N/A</v>
      </c>
    </row>
    <row r="1672" spans="1:35" ht="12.75">
      <c r="A1672" s="6"/>
      <c r="B1672" s="6"/>
      <c r="C1672" s="6"/>
      <c r="D1672" s="10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 t="str">
        <f ca="1">IFERROR(__xludf.DUMMYFUNCTION("""COMPUTED_VALUE"""),"#N/A")</f>
        <v>#N/A</v>
      </c>
    </row>
    <row r="1673" spans="1:35" ht="12.75">
      <c r="A1673" s="6"/>
      <c r="B1673" s="6"/>
      <c r="C1673" s="6"/>
      <c r="D1673" s="10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 t="str">
        <f ca="1">IFERROR(__xludf.DUMMYFUNCTION("""COMPUTED_VALUE"""),"#N/A")</f>
        <v>#N/A</v>
      </c>
    </row>
    <row r="1674" spans="1:35" ht="12.75">
      <c r="A1674" s="6"/>
      <c r="B1674" s="6"/>
      <c r="C1674" s="6"/>
      <c r="D1674" s="10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 t="str">
        <f ca="1">IFERROR(__xludf.DUMMYFUNCTION("""COMPUTED_VALUE"""),"#N/A")</f>
        <v>#N/A</v>
      </c>
    </row>
    <row r="1675" spans="1:35" ht="12.75">
      <c r="A1675" s="6"/>
      <c r="B1675" s="6"/>
      <c r="C1675" s="6"/>
      <c r="D1675" s="10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 t="str">
        <f ca="1">IFERROR(__xludf.DUMMYFUNCTION("""COMPUTED_VALUE"""),"#N/A")</f>
        <v>#N/A</v>
      </c>
    </row>
    <row r="1676" spans="1:35" ht="12.75">
      <c r="A1676" s="6"/>
      <c r="B1676" s="6"/>
      <c r="C1676" s="6"/>
      <c r="D1676" s="10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 t="str">
        <f ca="1">IFERROR(__xludf.DUMMYFUNCTION("""COMPUTED_VALUE"""),"#N/A")</f>
        <v>#N/A</v>
      </c>
    </row>
    <row r="1677" spans="1:35" ht="12.75">
      <c r="A1677" s="6"/>
      <c r="B1677" s="6"/>
      <c r="C1677" s="6"/>
      <c r="D1677" s="10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 t="str">
        <f ca="1">IFERROR(__xludf.DUMMYFUNCTION("""COMPUTED_VALUE"""),"#N/A")</f>
        <v>#N/A</v>
      </c>
    </row>
    <row r="1678" spans="1:35" ht="12.75">
      <c r="A1678" s="6"/>
      <c r="B1678" s="6"/>
      <c r="C1678" s="6"/>
      <c r="D1678" s="10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 t="str">
        <f ca="1">IFERROR(__xludf.DUMMYFUNCTION("""COMPUTED_VALUE"""),"#N/A")</f>
        <v>#N/A</v>
      </c>
    </row>
    <row r="1679" spans="1:35" ht="12.75">
      <c r="A1679" s="6"/>
      <c r="B1679" s="6"/>
      <c r="C1679" s="6"/>
      <c r="D1679" s="10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 t="str">
        <f ca="1">IFERROR(__xludf.DUMMYFUNCTION("""COMPUTED_VALUE"""),"#N/A")</f>
        <v>#N/A</v>
      </c>
    </row>
    <row r="1680" spans="1:35" ht="12.75">
      <c r="A1680" s="6"/>
      <c r="B1680" s="6"/>
      <c r="C1680" s="6"/>
      <c r="D1680" s="10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 t="str">
        <f ca="1">IFERROR(__xludf.DUMMYFUNCTION("""COMPUTED_VALUE"""),"#N/A")</f>
        <v>#N/A</v>
      </c>
    </row>
    <row r="1681" spans="1:35" ht="12.75">
      <c r="A1681" s="6"/>
      <c r="B1681" s="6"/>
      <c r="C1681" s="6"/>
      <c r="D1681" s="10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 t="str">
        <f ca="1">IFERROR(__xludf.DUMMYFUNCTION("""COMPUTED_VALUE"""),"#N/A")</f>
        <v>#N/A</v>
      </c>
    </row>
    <row r="1682" spans="1:35" ht="12.75">
      <c r="A1682" s="6"/>
      <c r="B1682" s="6"/>
      <c r="C1682" s="6"/>
      <c r="D1682" s="10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 t="str">
        <f ca="1">IFERROR(__xludf.DUMMYFUNCTION("""COMPUTED_VALUE"""),"#N/A")</f>
        <v>#N/A</v>
      </c>
    </row>
    <row r="1683" spans="1:35" ht="12.75">
      <c r="A1683" s="6"/>
      <c r="B1683" s="6"/>
      <c r="C1683" s="6"/>
      <c r="D1683" s="10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 t="str">
        <f ca="1">IFERROR(__xludf.DUMMYFUNCTION("""COMPUTED_VALUE"""),"#N/A")</f>
        <v>#N/A</v>
      </c>
    </row>
    <row r="1684" spans="1:35" ht="12.75">
      <c r="A1684" s="6"/>
      <c r="B1684" s="6"/>
      <c r="C1684" s="6"/>
      <c r="D1684" s="10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 t="str">
        <f ca="1">IFERROR(__xludf.DUMMYFUNCTION("""COMPUTED_VALUE"""),"#N/A")</f>
        <v>#N/A</v>
      </c>
    </row>
    <row r="1685" spans="1:35" ht="12.75">
      <c r="A1685" s="6"/>
      <c r="B1685" s="6"/>
      <c r="C1685" s="6"/>
      <c r="D1685" s="10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 t="str">
        <f ca="1">IFERROR(__xludf.DUMMYFUNCTION("""COMPUTED_VALUE"""),"#N/A")</f>
        <v>#N/A</v>
      </c>
    </row>
    <row r="1686" spans="1:35" ht="12.75">
      <c r="A1686" s="6"/>
      <c r="B1686" s="6"/>
      <c r="C1686" s="6"/>
      <c r="D1686" s="10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 t="str">
        <f ca="1">IFERROR(__xludf.DUMMYFUNCTION("""COMPUTED_VALUE"""),"#N/A")</f>
        <v>#N/A</v>
      </c>
    </row>
    <row r="1687" spans="1:35" ht="12.75">
      <c r="A1687" s="6"/>
      <c r="B1687" s="6"/>
      <c r="C1687" s="6"/>
      <c r="D1687" s="10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 t="str">
        <f ca="1">IFERROR(__xludf.DUMMYFUNCTION("""COMPUTED_VALUE"""),"#N/A")</f>
        <v>#N/A</v>
      </c>
    </row>
    <row r="1688" spans="1:35" ht="12.75">
      <c r="A1688" s="6"/>
      <c r="B1688" s="6"/>
      <c r="C1688" s="6"/>
      <c r="D1688" s="10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 t="str">
        <f ca="1">IFERROR(__xludf.DUMMYFUNCTION("""COMPUTED_VALUE"""),"#N/A")</f>
        <v>#N/A</v>
      </c>
    </row>
    <row r="1689" spans="1:35" ht="12.75">
      <c r="A1689" s="6"/>
      <c r="B1689" s="6"/>
      <c r="C1689" s="6"/>
      <c r="D1689" s="10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 t="str">
        <f ca="1">IFERROR(__xludf.DUMMYFUNCTION("""COMPUTED_VALUE"""),"#N/A")</f>
        <v>#N/A</v>
      </c>
    </row>
    <row r="1690" spans="1:35" ht="12.75">
      <c r="A1690" s="6"/>
      <c r="B1690" s="6"/>
      <c r="C1690" s="6"/>
      <c r="D1690" s="10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 t="str">
        <f ca="1">IFERROR(__xludf.DUMMYFUNCTION("""COMPUTED_VALUE"""),"#N/A")</f>
        <v>#N/A</v>
      </c>
    </row>
    <row r="1691" spans="1:35" ht="12.75">
      <c r="A1691" s="6"/>
      <c r="B1691" s="6"/>
      <c r="C1691" s="6"/>
      <c r="D1691" s="10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 t="str">
        <f ca="1">IFERROR(__xludf.DUMMYFUNCTION("""COMPUTED_VALUE"""),"#N/A")</f>
        <v>#N/A</v>
      </c>
    </row>
    <row r="1692" spans="1:35" ht="12.75">
      <c r="A1692" s="6"/>
      <c r="B1692" s="6"/>
      <c r="C1692" s="6"/>
      <c r="D1692" s="10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 t="str">
        <f ca="1">IFERROR(__xludf.DUMMYFUNCTION("""COMPUTED_VALUE"""),"#N/A")</f>
        <v>#N/A</v>
      </c>
    </row>
    <row r="1693" spans="1:35" ht="12.75">
      <c r="A1693" s="6"/>
      <c r="B1693" s="6"/>
      <c r="C1693" s="6"/>
      <c r="D1693" s="10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 t="str">
        <f ca="1">IFERROR(__xludf.DUMMYFUNCTION("""COMPUTED_VALUE"""),"#N/A")</f>
        <v>#N/A</v>
      </c>
    </row>
    <row r="1694" spans="1:35" ht="12.75">
      <c r="A1694" s="6"/>
      <c r="B1694" s="6"/>
      <c r="C1694" s="6"/>
      <c r="D1694" s="10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 t="str">
        <f ca="1">IFERROR(__xludf.DUMMYFUNCTION("""COMPUTED_VALUE"""),"#N/A")</f>
        <v>#N/A</v>
      </c>
    </row>
    <row r="1695" spans="1:35" ht="12.75">
      <c r="A1695" s="6"/>
      <c r="B1695" s="6"/>
      <c r="C1695" s="6"/>
      <c r="D1695" s="10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 t="str">
        <f ca="1">IFERROR(__xludf.DUMMYFUNCTION("""COMPUTED_VALUE"""),"#N/A")</f>
        <v>#N/A</v>
      </c>
    </row>
    <row r="1696" spans="1:35" ht="12.75">
      <c r="A1696" s="6"/>
      <c r="B1696" s="6"/>
      <c r="C1696" s="6"/>
      <c r="D1696" s="10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 t="str">
        <f ca="1">IFERROR(__xludf.DUMMYFUNCTION("""COMPUTED_VALUE"""),"#N/A")</f>
        <v>#N/A</v>
      </c>
    </row>
    <row r="1697" spans="1:35" ht="12.75">
      <c r="A1697" s="6"/>
      <c r="B1697" s="6"/>
      <c r="C1697" s="6"/>
      <c r="D1697" s="10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 t="str">
        <f ca="1">IFERROR(__xludf.DUMMYFUNCTION("""COMPUTED_VALUE"""),"#N/A")</f>
        <v>#N/A</v>
      </c>
    </row>
    <row r="1698" spans="1:35" ht="12.75">
      <c r="A1698" s="6"/>
      <c r="B1698" s="6"/>
      <c r="C1698" s="6"/>
      <c r="D1698" s="10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 t="str">
        <f ca="1">IFERROR(__xludf.DUMMYFUNCTION("""COMPUTED_VALUE"""),"#N/A")</f>
        <v>#N/A</v>
      </c>
    </row>
    <row r="1699" spans="1:35" ht="12.75">
      <c r="A1699" s="6"/>
      <c r="B1699" s="6"/>
      <c r="C1699" s="6"/>
      <c r="D1699" s="10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 t="str">
        <f ca="1">IFERROR(__xludf.DUMMYFUNCTION("""COMPUTED_VALUE"""),"#N/A")</f>
        <v>#N/A</v>
      </c>
    </row>
    <row r="1700" spans="1:35" ht="12.75">
      <c r="A1700" s="6"/>
      <c r="B1700" s="6"/>
      <c r="C1700" s="6"/>
      <c r="D1700" s="10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 t="str">
        <f ca="1">IFERROR(__xludf.DUMMYFUNCTION("""COMPUTED_VALUE"""),"#N/A")</f>
        <v>#N/A</v>
      </c>
    </row>
    <row r="1701" spans="1:35" ht="12.75">
      <c r="A1701" s="6"/>
      <c r="B1701" s="6"/>
      <c r="C1701" s="6"/>
      <c r="D1701" s="10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 t="str">
        <f ca="1">IFERROR(__xludf.DUMMYFUNCTION("""COMPUTED_VALUE"""),"#N/A")</f>
        <v>#N/A</v>
      </c>
    </row>
    <row r="1702" spans="1:35" ht="12.75">
      <c r="A1702" s="6"/>
      <c r="B1702" s="6"/>
      <c r="C1702" s="6"/>
      <c r="D1702" s="10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 t="str">
        <f ca="1">IFERROR(__xludf.DUMMYFUNCTION("""COMPUTED_VALUE"""),"#N/A")</f>
        <v>#N/A</v>
      </c>
    </row>
    <row r="1703" spans="1:35" ht="12.75">
      <c r="A1703" s="6"/>
      <c r="B1703" s="6"/>
      <c r="C1703" s="6"/>
      <c r="D1703" s="10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 t="str">
        <f ca="1">IFERROR(__xludf.DUMMYFUNCTION("""COMPUTED_VALUE"""),"#N/A")</f>
        <v>#N/A</v>
      </c>
    </row>
    <row r="1704" spans="1:35" ht="12.75">
      <c r="A1704" s="6"/>
      <c r="B1704" s="6"/>
      <c r="C1704" s="6"/>
      <c r="D1704" s="10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 t="str">
        <f ca="1">IFERROR(__xludf.DUMMYFUNCTION("""COMPUTED_VALUE"""),"#N/A")</f>
        <v>#N/A</v>
      </c>
    </row>
    <row r="1705" spans="1:35" ht="12.75">
      <c r="A1705" s="6"/>
      <c r="B1705" s="6"/>
      <c r="C1705" s="6"/>
      <c r="D1705" s="10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 t="str">
        <f ca="1">IFERROR(__xludf.DUMMYFUNCTION("""COMPUTED_VALUE"""),"#N/A")</f>
        <v>#N/A</v>
      </c>
    </row>
    <row r="1706" spans="1:35" ht="12.75">
      <c r="A1706" s="6"/>
      <c r="B1706" s="6"/>
      <c r="C1706" s="6"/>
      <c r="D1706" s="10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 t="str">
        <f ca="1">IFERROR(__xludf.DUMMYFUNCTION("""COMPUTED_VALUE"""),"#N/A")</f>
        <v>#N/A</v>
      </c>
    </row>
    <row r="1707" spans="1:35" ht="12.75">
      <c r="A1707" s="6"/>
      <c r="B1707" s="6"/>
      <c r="C1707" s="6"/>
      <c r="D1707" s="10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 t="str">
        <f ca="1">IFERROR(__xludf.DUMMYFUNCTION("""COMPUTED_VALUE"""),"#N/A")</f>
        <v>#N/A</v>
      </c>
    </row>
    <row r="1708" spans="1:35" ht="12.75">
      <c r="A1708" s="6"/>
      <c r="B1708" s="6"/>
      <c r="C1708" s="6"/>
      <c r="D1708" s="10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 t="str">
        <f ca="1">IFERROR(__xludf.DUMMYFUNCTION("""COMPUTED_VALUE"""),"#N/A")</f>
        <v>#N/A</v>
      </c>
    </row>
    <row r="1709" spans="1:35" ht="12.75">
      <c r="A1709" s="6"/>
      <c r="B1709" s="6"/>
      <c r="C1709" s="6"/>
      <c r="D1709" s="10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 t="str">
        <f ca="1">IFERROR(__xludf.DUMMYFUNCTION("""COMPUTED_VALUE"""),"#N/A")</f>
        <v>#N/A</v>
      </c>
    </row>
    <row r="1710" spans="1:35" ht="12.75">
      <c r="A1710" s="6"/>
      <c r="B1710" s="6"/>
      <c r="C1710" s="6"/>
      <c r="D1710" s="10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 t="str">
        <f ca="1">IFERROR(__xludf.DUMMYFUNCTION("""COMPUTED_VALUE"""),"#N/A")</f>
        <v>#N/A</v>
      </c>
    </row>
    <row r="1711" spans="1:35" ht="12.75">
      <c r="A1711" s="6"/>
      <c r="B1711" s="6"/>
      <c r="C1711" s="6"/>
      <c r="D1711" s="10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 t="str">
        <f ca="1">IFERROR(__xludf.DUMMYFUNCTION("""COMPUTED_VALUE"""),"#N/A")</f>
        <v>#N/A</v>
      </c>
    </row>
    <row r="1712" spans="1:35" ht="12.75">
      <c r="A1712" s="6"/>
      <c r="B1712" s="6"/>
      <c r="C1712" s="6"/>
      <c r="D1712" s="10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 t="str">
        <f ca="1">IFERROR(__xludf.DUMMYFUNCTION("""COMPUTED_VALUE"""),"#N/A")</f>
        <v>#N/A</v>
      </c>
    </row>
    <row r="1713" spans="1:35" ht="12.75">
      <c r="A1713" s="6"/>
      <c r="B1713" s="6"/>
      <c r="C1713" s="6"/>
      <c r="D1713" s="10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 t="str">
        <f ca="1">IFERROR(__xludf.DUMMYFUNCTION("""COMPUTED_VALUE"""),"#N/A")</f>
        <v>#N/A</v>
      </c>
    </row>
    <row r="1714" spans="1:35" ht="12.75">
      <c r="A1714" s="6"/>
      <c r="B1714" s="6"/>
      <c r="C1714" s="6"/>
      <c r="D1714" s="10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 t="str">
        <f ca="1">IFERROR(__xludf.DUMMYFUNCTION("""COMPUTED_VALUE"""),"#N/A")</f>
        <v>#N/A</v>
      </c>
    </row>
    <row r="1715" spans="1:35" ht="12.75">
      <c r="A1715" s="6"/>
      <c r="B1715" s="6"/>
      <c r="C1715" s="6"/>
      <c r="D1715" s="10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 t="str">
        <f ca="1">IFERROR(__xludf.DUMMYFUNCTION("""COMPUTED_VALUE"""),"#N/A")</f>
        <v>#N/A</v>
      </c>
    </row>
    <row r="1716" spans="1:35" ht="12.75">
      <c r="A1716" s="6"/>
      <c r="B1716" s="6"/>
      <c r="C1716" s="6"/>
      <c r="D1716" s="10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 t="str">
        <f ca="1">IFERROR(__xludf.DUMMYFUNCTION("""COMPUTED_VALUE"""),"#N/A")</f>
        <v>#N/A</v>
      </c>
    </row>
    <row r="1717" spans="1:35" ht="12.75">
      <c r="A1717" s="6"/>
      <c r="B1717" s="6"/>
      <c r="C1717" s="6"/>
      <c r="D1717" s="10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 t="str">
        <f ca="1">IFERROR(__xludf.DUMMYFUNCTION("""COMPUTED_VALUE"""),"#N/A")</f>
        <v>#N/A</v>
      </c>
    </row>
    <row r="1718" spans="1:35" ht="12.75">
      <c r="A1718" s="6"/>
      <c r="B1718" s="6"/>
      <c r="C1718" s="6"/>
      <c r="D1718" s="10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 t="str">
        <f ca="1">IFERROR(__xludf.DUMMYFUNCTION("""COMPUTED_VALUE"""),"#N/A")</f>
        <v>#N/A</v>
      </c>
    </row>
    <row r="1719" spans="1:35" ht="12.75">
      <c r="A1719" s="6"/>
      <c r="B1719" s="6"/>
      <c r="C1719" s="6"/>
      <c r="D1719" s="10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 t="str">
        <f ca="1">IFERROR(__xludf.DUMMYFUNCTION("""COMPUTED_VALUE"""),"#N/A")</f>
        <v>#N/A</v>
      </c>
    </row>
    <row r="1720" spans="1:35" ht="12.75">
      <c r="A1720" s="6"/>
      <c r="B1720" s="6"/>
      <c r="C1720" s="6"/>
      <c r="D1720" s="10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 t="str">
        <f ca="1">IFERROR(__xludf.DUMMYFUNCTION("""COMPUTED_VALUE"""),"#N/A")</f>
        <v>#N/A</v>
      </c>
    </row>
    <row r="1721" spans="1:35" ht="12.75">
      <c r="A1721" s="6"/>
      <c r="B1721" s="6"/>
      <c r="C1721" s="6"/>
      <c r="D1721" s="10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 t="str">
        <f ca="1">IFERROR(__xludf.DUMMYFUNCTION("""COMPUTED_VALUE"""),"#N/A")</f>
        <v>#N/A</v>
      </c>
    </row>
    <row r="1722" spans="1:35" ht="12.75">
      <c r="A1722" s="6"/>
      <c r="B1722" s="6"/>
      <c r="C1722" s="6"/>
      <c r="D1722" s="10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 t="str">
        <f ca="1">IFERROR(__xludf.DUMMYFUNCTION("""COMPUTED_VALUE"""),"#N/A")</f>
        <v>#N/A</v>
      </c>
    </row>
    <row r="1723" spans="1:35" ht="12.75">
      <c r="A1723" s="6"/>
      <c r="B1723" s="6"/>
      <c r="C1723" s="6"/>
      <c r="D1723" s="10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 t="str">
        <f ca="1">IFERROR(__xludf.DUMMYFUNCTION("""COMPUTED_VALUE"""),"#N/A")</f>
        <v>#N/A</v>
      </c>
    </row>
    <row r="1724" spans="1:35" ht="12.75">
      <c r="A1724" s="6"/>
      <c r="B1724" s="6"/>
      <c r="C1724" s="6"/>
      <c r="D1724" s="10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 t="str">
        <f ca="1">IFERROR(__xludf.DUMMYFUNCTION("""COMPUTED_VALUE"""),"#N/A")</f>
        <v>#N/A</v>
      </c>
    </row>
    <row r="1725" spans="1:35" ht="12.75">
      <c r="A1725" s="6"/>
      <c r="B1725" s="6"/>
      <c r="C1725" s="6"/>
      <c r="D1725" s="10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 t="str">
        <f ca="1">IFERROR(__xludf.DUMMYFUNCTION("""COMPUTED_VALUE"""),"#N/A")</f>
        <v>#N/A</v>
      </c>
    </row>
    <row r="1726" spans="1:35" ht="12.75">
      <c r="A1726" s="6"/>
      <c r="B1726" s="6"/>
      <c r="C1726" s="6"/>
      <c r="D1726" s="10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 t="str">
        <f ca="1">IFERROR(__xludf.DUMMYFUNCTION("""COMPUTED_VALUE"""),"#N/A")</f>
        <v>#N/A</v>
      </c>
    </row>
    <row r="1727" spans="1:35" ht="12.75">
      <c r="A1727" s="6"/>
      <c r="B1727" s="6"/>
      <c r="C1727" s="6"/>
      <c r="D1727" s="10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 t="str">
        <f ca="1">IFERROR(__xludf.DUMMYFUNCTION("""COMPUTED_VALUE"""),"#N/A")</f>
        <v>#N/A</v>
      </c>
    </row>
    <row r="1728" spans="1:35" ht="12.75">
      <c r="A1728" s="6"/>
      <c r="B1728" s="6"/>
      <c r="C1728" s="6"/>
      <c r="D1728" s="10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 t="str">
        <f ca="1">IFERROR(__xludf.DUMMYFUNCTION("""COMPUTED_VALUE"""),"#N/A")</f>
        <v>#N/A</v>
      </c>
    </row>
    <row r="1729" spans="1:35" ht="12.75">
      <c r="A1729" s="6"/>
      <c r="B1729" s="6"/>
      <c r="C1729" s="6"/>
      <c r="D1729" s="10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 t="str">
        <f ca="1">IFERROR(__xludf.DUMMYFUNCTION("""COMPUTED_VALUE"""),"#N/A")</f>
        <v>#N/A</v>
      </c>
    </row>
    <row r="1730" spans="1:35" ht="12.75">
      <c r="A1730" s="6"/>
      <c r="B1730" s="6"/>
      <c r="C1730" s="6"/>
      <c r="D1730" s="10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 t="str">
        <f ca="1">IFERROR(__xludf.DUMMYFUNCTION("""COMPUTED_VALUE"""),"#N/A")</f>
        <v>#N/A</v>
      </c>
    </row>
    <row r="1731" spans="1:35" ht="12.75">
      <c r="A1731" s="6"/>
      <c r="B1731" s="6"/>
      <c r="C1731" s="6"/>
      <c r="D1731" s="10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 t="str">
        <f ca="1">IFERROR(__xludf.DUMMYFUNCTION("""COMPUTED_VALUE"""),"#N/A")</f>
        <v>#N/A</v>
      </c>
    </row>
    <row r="1732" spans="1:35" ht="12.75">
      <c r="A1732" s="6"/>
      <c r="B1732" s="6"/>
      <c r="C1732" s="6"/>
      <c r="D1732" s="10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 t="str">
        <f ca="1">IFERROR(__xludf.DUMMYFUNCTION("""COMPUTED_VALUE"""),"#N/A")</f>
        <v>#N/A</v>
      </c>
    </row>
    <row r="1733" spans="1:35" ht="12.75">
      <c r="A1733" s="6"/>
      <c r="B1733" s="6"/>
      <c r="C1733" s="6"/>
      <c r="D1733" s="10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 t="str">
        <f ca="1">IFERROR(__xludf.DUMMYFUNCTION("""COMPUTED_VALUE"""),"#N/A")</f>
        <v>#N/A</v>
      </c>
    </row>
    <row r="1734" spans="1:35" ht="12.75">
      <c r="A1734" s="6"/>
      <c r="B1734" s="6"/>
      <c r="C1734" s="6"/>
      <c r="D1734" s="10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 t="str">
        <f ca="1">IFERROR(__xludf.DUMMYFUNCTION("""COMPUTED_VALUE"""),"#N/A")</f>
        <v>#N/A</v>
      </c>
    </row>
    <row r="1735" spans="1:35" ht="12.75">
      <c r="A1735" s="6"/>
      <c r="B1735" s="6"/>
      <c r="C1735" s="6"/>
      <c r="D1735" s="10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 t="str">
        <f ca="1">IFERROR(__xludf.DUMMYFUNCTION("""COMPUTED_VALUE"""),"#N/A")</f>
        <v>#N/A</v>
      </c>
    </row>
    <row r="1736" spans="1:35" ht="12.75">
      <c r="A1736" s="6"/>
      <c r="B1736" s="6"/>
      <c r="C1736" s="6"/>
      <c r="D1736" s="10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 t="str">
        <f ca="1">IFERROR(__xludf.DUMMYFUNCTION("""COMPUTED_VALUE"""),"#N/A")</f>
        <v>#N/A</v>
      </c>
    </row>
    <row r="1737" spans="1:35" ht="12.75">
      <c r="A1737" s="6"/>
      <c r="B1737" s="6"/>
      <c r="C1737" s="6"/>
      <c r="D1737" s="10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 t="str">
        <f ca="1">IFERROR(__xludf.DUMMYFUNCTION("""COMPUTED_VALUE"""),"#N/A")</f>
        <v>#N/A</v>
      </c>
    </row>
    <row r="1738" spans="1:35" ht="12.75">
      <c r="A1738" s="6"/>
      <c r="B1738" s="6"/>
      <c r="C1738" s="6"/>
      <c r="D1738" s="10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 t="str">
        <f ca="1">IFERROR(__xludf.DUMMYFUNCTION("""COMPUTED_VALUE"""),"#N/A")</f>
        <v>#N/A</v>
      </c>
    </row>
    <row r="1739" spans="1:35" ht="12.75">
      <c r="A1739" s="6"/>
      <c r="B1739" s="6"/>
      <c r="C1739" s="6"/>
      <c r="D1739" s="10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 t="str">
        <f ca="1">IFERROR(__xludf.DUMMYFUNCTION("""COMPUTED_VALUE"""),"#N/A")</f>
        <v>#N/A</v>
      </c>
    </row>
    <row r="1740" spans="1:35" ht="12.75">
      <c r="A1740" s="6"/>
      <c r="B1740" s="6"/>
      <c r="C1740" s="6"/>
      <c r="D1740" s="10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 t="str">
        <f ca="1">IFERROR(__xludf.DUMMYFUNCTION("""COMPUTED_VALUE"""),"#N/A")</f>
        <v>#N/A</v>
      </c>
    </row>
    <row r="1741" spans="1:35" ht="12.75">
      <c r="A1741" s="6"/>
      <c r="B1741" s="6"/>
      <c r="C1741" s="6"/>
      <c r="D1741" s="10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 t="str">
        <f ca="1">IFERROR(__xludf.DUMMYFUNCTION("""COMPUTED_VALUE"""),"#N/A")</f>
        <v>#N/A</v>
      </c>
    </row>
    <row r="1742" spans="1:35" ht="12.75">
      <c r="A1742" s="6"/>
      <c r="B1742" s="6"/>
      <c r="C1742" s="6"/>
      <c r="D1742" s="10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 t="str">
        <f ca="1">IFERROR(__xludf.DUMMYFUNCTION("""COMPUTED_VALUE"""),"#N/A")</f>
        <v>#N/A</v>
      </c>
    </row>
    <row r="1743" spans="1:35" ht="12.75">
      <c r="A1743" s="6"/>
      <c r="B1743" s="6"/>
      <c r="C1743" s="6"/>
      <c r="D1743" s="10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 t="str">
        <f ca="1">IFERROR(__xludf.DUMMYFUNCTION("""COMPUTED_VALUE"""),"#N/A")</f>
        <v>#N/A</v>
      </c>
    </row>
    <row r="1744" spans="1:35" ht="12.75">
      <c r="A1744" s="6"/>
      <c r="B1744" s="6"/>
      <c r="C1744" s="6"/>
      <c r="D1744" s="10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 t="str">
        <f ca="1">IFERROR(__xludf.DUMMYFUNCTION("""COMPUTED_VALUE"""),"#N/A")</f>
        <v>#N/A</v>
      </c>
    </row>
    <row r="1745" spans="1:35" ht="12.75">
      <c r="A1745" s="6"/>
      <c r="B1745" s="6"/>
      <c r="C1745" s="6"/>
      <c r="D1745" s="10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 t="str">
        <f ca="1">IFERROR(__xludf.DUMMYFUNCTION("""COMPUTED_VALUE"""),"#N/A")</f>
        <v>#N/A</v>
      </c>
    </row>
    <row r="1746" spans="1:35" ht="12.75">
      <c r="A1746" s="6"/>
      <c r="B1746" s="6"/>
      <c r="C1746" s="6"/>
      <c r="D1746" s="10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 t="str">
        <f ca="1">IFERROR(__xludf.DUMMYFUNCTION("""COMPUTED_VALUE"""),"#N/A")</f>
        <v>#N/A</v>
      </c>
    </row>
    <row r="1747" spans="1:35" ht="12.75">
      <c r="A1747" s="6"/>
      <c r="B1747" s="6"/>
      <c r="C1747" s="6"/>
      <c r="D1747" s="10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 t="str">
        <f ca="1">IFERROR(__xludf.DUMMYFUNCTION("""COMPUTED_VALUE"""),"#N/A")</f>
        <v>#N/A</v>
      </c>
    </row>
    <row r="1748" spans="1:35" ht="12.75">
      <c r="A1748" s="6"/>
      <c r="B1748" s="6"/>
      <c r="C1748" s="6"/>
      <c r="D1748" s="10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 t="str">
        <f ca="1">IFERROR(__xludf.DUMMYFUNCTION("""COMPUTED_VALUE"""),"#N/A")</f>
        <v>#N/A</v>
      </c>
    </row>
    <row r="1749" spans="1:35" ht="12.75">
      <c r="A1749" s="6"/>
      <c r="B1749" s="6"/>
      <c r="C1749" s="6"/>
      <c r="D1749" s="10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 t="str">
        <f ca="1">IFERROR(__xludf.DUMMYFUNCTION("""COMPUTED_VALUE"""),"#N/A")</f>
        <v>#N/A</v>
      </c>
    </row>
    <row r="1750" spans="1:35" ht="12.75">
      <c r="A1750" s="6"/>
      <c r="B1750" s="6"/>
      <c r="C1750" s="6"/>
      <c r="D1750" s="10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 t="str">
        <f ca="1">IFERROR(__xludf.DUMMYFUNCTION("""COMPUTED_VALUE"""),"#N/A")</f>
        <v>#N/A</v>
      </c>
    </row>
    <row r="1751" spans="1:35" ht="12.75">
      <c r="A1751" s="6"/>
      <c r="B1751" s="6"/>
      <c r="C1751" s="6"/>
      <c r="D1751" s="10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 t="str">
        <f ca="1">IFERROR(__xludf.DUMMYFUNCTION("""COMPUTED_VALUE"""),"#N/A")</f>
        <v>#N/A</v>
      </c>
    </row>
    <row r="1752" spans="1:35" ht="12.75">
      <c r="A1752" s="6"/>
      <c r="B1752" s="6"/>
      <c r="C1752" s="6"/>
      <c r="D1752" s="10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 t="str">
        <f ca="1">IFERROR(__xludf.DUMMYFUNCTION("""COMPUTED_VALUE"""),"#N/A")</f>
        <v>#N/A</v>
      </c>
    </row>
    <row r="1753" spans="1:35" ht="12.75">
      <c r="A1753" s="6"/>
      <c r="B1753" s="6"/>
      <c r="C1753" s="6"/>
      <c r="D1753" s="10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 t="str">
        <f ca="1">IFERROR(__xludf.DUMMYFUNCTION("""COMPUTED_VALUE"""),"#N/A")</f>
        <v>#N/A</v>
      </c>
    </row>
    <row r="1754" spans="1:35" ht="12.75">
      <c r="A1754" s="6"/>
      <c r="B1754" s="6"/>
      <c r="C1754" s="6"/>
      <c r="D1754" s="10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 t="str">
        <f ca="1">IFERROR(__xludf.DUMMYFUNCTION("""COMPUTED_VALUE"""),"#N/A")</f>
        <v>#N/A</v>
      </c>
    </row>
    <row r="1755" spans="1:35" ht="12.75">
      <c r="A1755" s="6"/>
      <c r="B1755" s="6"/>
      <c r="C1755" s="6"/>
      <c r="D1755" s="10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 t="str">
        <f ca="1">IFERROR(__xludf.DUMMYFUNCTION("""COMPUTED_VALUE"""),"#N/A")</f>
        <v>#N/A</v>
      </c>
    </row>
    <row r="1756" spans="1:35" ht="12.75">
      <c r="A1756" s="6"/>
      <c r="B1756" s="6"/>
      <c r="C1756" s="6"/>
      <c r="D1756" s="10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 t="str">
        <f ca="1">IFERROR(__xludf.DUMMYFUNCTION("""COMPUTED_VALUE"""),"#N/A")</f>
        <v>#N/A</v>
      </c>
    </row>
    <row r="1757" spans="1:35" ht="12.75">
      <c r="A1757" s="6"/>
      <c r="B1757" s="6"/>
      <c r="C1757" s="6"/>
      <c r="D1757" s="10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 t="str">
        <f ca="1">IFERROR(__xludf.DUMMYFUNCTION("""COMPUTED_VALUE"""),"#N/A")</f>
        <v>#N/A</v>
      </c>
    </row>
    <row r="1758" spans="1:35" ht="12.75">
      <c r="A1758" s="6"/>
      <c r="B1758" s="6"/>
      <c r="C1758" s="6"/>
      <c r="D1758" s="10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 t="str">
        <f ca="1">IFERROR(__xludf.DUMMYFUNCTION("""COMPUTED_VALUE"""),"#N/A")</f>
        <v>#N/A</v>
      </c>
    </row>
    <row r="1759" spans="1:35" ht="12.75">
      <c r="A1759" s="6"/>
      <c r="B1759" s="6"/>
      <c r="C1759" s="6"/>
      <c r="D1759" s="10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 t="str">
        <f ca="1">IFERROR(__xludf.DUMMYFUNCTION("""COMPUTED_VALUE"""),"#N/A")</f>
        <v>#N/A</v>
      </c>
    </row>
    <row r="1760" spans="1:35" ht="12.75">
      <c r="A1760" s="6"/>
      <c r="B1760" s="6"/>
      <c r="C1760" s="6"/>
      <c r="D1760" s="10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 t="str">
        <f ca="1">IFERROR(__xludf.DUMMYFUNCTION("""COMPUTED_VALUE"""),"#N/A")</f>
        <v>#N/A</v>
      </c>
    </row>
    <row r="1761" spans="1:35" ht="12.75">
      <c r="A1761" s="6"/>
      <c r="B1761" s="6"/>
      <c r="C1761" s="6"/>
      <c r="D1761" s="10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 t="str">
        <f ca="1">IFERROR(__xludf.DUMMYFUNCTION("""COMPUTED_VALUE"""),"#N/A")</f>
        <v>#N/A</v>
      </c>
    </row>
    <row r="1762" spans="1:35" ht="12.75">
      <c r="A1762" s="6"/>
      <c r="B1762" s="6"/>
      <c r="C1762" s="6"/>
      <c r="D1762" s="10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 t="str">
        <f ca="1">IFERROR(__xludf.DUMMYFUNCTION("""COMPUTED_VALUE"""),"#N/A")</f>
        <v>#N/A</v>
      </c>
    </row>
    <row r="1763" spans="1:35" ht="12.75">
      <c r="A1763" s="6"/>
      <c r="B1763" s="6"/>
      <c r="C1763" s="6"/>
      <c r="D1763" s="10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 t="str">
        <f ca="1">IFERROR(__xludf.DUMMYFUNCTION("""COMPUTED_VALUE"""),"#N/A")</f>
        <v>#N/A</v>
      </c>
    </row>
    <row r="1764" spans="1:35" ht="12.75">
      <c r="A1764" s="6"/>
      <c r="B1764" s="6"/>
      <c r="C1764" s="6"/>
      <c r="D1764" s="10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 t="str">
        <f ca="1">IFERROR(__xludf.DUMMYFUNCTION("""COMPUTED_VALUE"""),"#N/A")</f>
        <v>#N/A</v>
      </c>
    </row>
    <row r="1765" spans="1:35" ht="12.75">
      <c r="A1765" s="6"/>
      <c r="B1765" s="6"/>
      <c r="C1765" s="6"/>
      <c r="D1765" s="10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 t="str">
        <f ca="1">IFERROR(__xludf.DUMMYFUNCTION("""COMPUTED_VALUE"""),"#N/A")</f>
        <v>#N/A</v>
      </c>
    </row>
    <row r="1766" spans="1:35" ht="12.75">
      <c r="A1766" s="6"/>
      <c r="B1766" s="6"/>
      <c r="C1766" s="6"/>
      <c r="D1766" s="10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 t="str">
        <f ca="1">IFERROR(__xludf.DUMMYFUNCTION("""COMPUTED_VALUE"""),"#N/A")</f>
        <v>#N/A</v>
      </c>
    </row>
    <row r="1767" spans="1:35" ht="12.75">
      <c r="A1767" s="6"/>
      <c r="B1767" s="6"/>
      <c r="C1767" s="6"/>
      <c r="D1767" s="10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 t="str">
        <f ca="1">IFERROR(__xludf.DUMMYFUNCTION("""COMPUTED_VALUE"""),"#N/A")</f>
        <v>#N/A</v>
      </c>
    </row>
    <row r="1768" spans="1:35" ht="12.75">
      <c r="A1768" s="6"/>
      <c r="B1768" s="6"/>
      <c r="C1768" s="6"/>
      <c r="D1768" s="10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 t="str">
        <f ca="1">IFERROR(__xludf.DUMMYFUNCTION("""COMPUTED_VALUE"""),"#N/A")</f>
        <v>#N/A</v>
      </c>
    </row>
    <row r="1769" spans="1:35" ht="12.75">
      <c r="A1769" s="6"/>
      <c r="B1769" s="6"/>
      <c r="C1769" s="6"/>
      <c r="D1769" s="10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 t="str">
        <f ca="1">IFERROR(__xludf.DUMMYFUNCTION("""COMPUTED_VALUE"""),"#N/A")</f>
        <v>#N/A</v>
      </c>
    </row>
    <row r="1770" spans="1:35" ht="12.75">
      <c r="A1770" s="6"/>
      <c r="B1770" s="6"/>
      <c r="C1770" s="6"/>
      <c r="D1770" s="10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 t="str">
        <f ca="1">IFERROR(__xludf.DUMMYFUNCTION("""COMPUTED_VALUE"""),"#N/A")</f>
        <v>#N/A</v>
      </c>
    </row>
    <row r="1771" spans="1:35" ht="12.75">
      <c r="A1771" s="6"/>
      <c r="B1771" s="6"/>
      <c r="C1771" s="6"/>
      <c r="D1771" s="10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 t="str">
        <f ca="1">IFERROR(__xludf.DUMMYFUNCTION("""COMPUTED_VALUE"""),"#N/A")</f>
        <v>#N/A</v>
      </c>
    </row>
    <row r="1772" spans="1:35" ht="12.75">
      <c r="A1772" s="6"/>
      <c r="B1772" s="6"/>
      <c r="C1772" s="6"/>
      <c r="D1772" s="10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 t="str">
        <f ca="1">IFERROR(__xludf.DUMMYFUNCTION("""COMPUTED_VALUE"""),"#N/A")</f>
        <v>#N/A</v>
      </c>
    </row>
    <row r="1773" spans="1:35" ht="12.75">
      <c r="A1773" s="6"/>
      <c r="B1773" s="6"/>
      <c r="C1773" s="6"/>
      <c r="D1773" s="10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 t="str">
        <f ca="1">IFERROR(__xludf.DUMMYFUNCTION("""COMPUTED_VALUE"""),"#N/A")</f>
        <v>#N/A</v>
      </c>
    </row>
    <row r="1774" spans="1:35" ht="12.75">
      <c r="A1774" s="6"/>
      <c r="B1774" s="6"/>
      <c r="C1774" s="6"/>
      <c r="D1774" s="10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 t="str">
        <f ca="1">IFERROR(__xludf.DUMMYFUNCTION("""COMPUTED_VALUE"""),"#N/A")</f>
        <v>#N/A</v>
      </c>
    </row>
    <row r="1775" spans="1:35" ht="12.75">
      <c r="A1775" s="6"/>
      <c r="B1775" s="6"/>
      <c r="C1775" s="6"/>
      <c r="D1775" s="10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 t="str">
        <f ca="1">IFERROR(__xludf.DUMMYFUNCTION("""COMPUTED_VALUE"""),"#N/A")</f>
        <v>#N/A</v>
      </c>
    </row>
    <row r="1776" spans="1:35" ht="12.75">
      <c r="A1776" s="6"/>
      <c r="B1776" s="6"/>
      <c r="C1776" s="6"/>
      <c r="D1776" s="10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 t="str">
        <f ca="1">IFERROR(__xludf.DUMMYFUNCTION("""COMPUTED_VALUE"""),"#N/A")</f>
        <v>#N/A</v>
      </c>
    </row>
    <row r="1777" spans="1:35" ht="12.75">
      <c r="A1777" s="6"/>
      <c r="B1777" s="6"/>
      <c r="C1777" s="6"/>
      <c r="D1777" s="10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 t="str">
        <f ca="1">IFERROR(__xludf.DUMMYFUNCTION("""COMPUTED_VALUE"""),"#N/A")</f>
        <v>#N/A</v>
      </c>
    </row>
    <row r="1778" spans="1:35" ht="12.75">
      <c r="A1778" s="6"/>
      <c r="B1778" s="6"/>
      <c r="C1778" s="6"/>
      <c r="D1778" s="10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 t="str">
        <f ca="1">IFERROR(__xludf.DUMMYFUNCTION("""COMPUTED_VALUE"""),"#N/A")</f>
        <v>#N/A</v>
      </c>
    </row>
    <row r="1779" spans="1:35" ht="12.75">
      <c r="A1779" s="6"/>
      <c r="B1779" s="6"/>
      <c r="C1779" s="6"/>
      <c r="D1779" s="10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 t="str">
        <f ca="1">IFERROR(__xludf.DUMMYFUNCTION("""COMPUTED_VALUE"""),"#N/A")</f>
        <v>#N/A</v>
      </c>
    </row>
    <row r="1780" spans="1:35" ht="12.75">
      <c r="A1780" s="6"/>
      <c r="B1780" s="6"/>
      <c r="C1780" s="6"/>
      <c r="D1780" s="10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 t="str">
        <f ca="1">IFERROR(__xludf.DUMMYFUNCTION("""COMPUTED_VALUE"""),"#N/A")</f>
        <v>#N/A</v>
      </c>
    </row>
    <row r="1781" spans="1:35" ht="12.75">
      <c r="A1781" s="6"/>
      <c r="B1781" s="6"/>
      <c r="C1781" s="6"/>
      <c r="D1781" s="10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 t="str">
        <f ca="1">IFERROR(__xludf.DUMMYFUNCTION("""COMPUTED_VALUE"""),"#N/A")</f>
        <v>#N/A</v>
      </c>
    </row>
    <row r="1782" spans="1:35" ht="12.75">
      <c r="A1782" s="6"/>
      <c r="B1782" s="6"/>
      <c r="C1782" s="6"/>
      <c r="D1782" s="10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 t="str">
        <f ca="1">IFERROR(__xludf.DUMMYFUNCTION("""COMPUTED_VALUE"""),"#N/A")</f>
        <v>#N/A</v>
      </c>
    </row>
    <row r="1783" spans="1:35" ht="12.75">
      <c r="A1783" s="6"/>
      <c r="B1783" s="6"/>
      <c r="C1783" s="6"/>
      <c r="D1783" s="10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 t="str">
        <f ca="1">IFERROR(__xludf.DUMMYFUNCTION("""COMPUTED_VALUE"""),"#N/A")</f>
        <v>#N/A</v>
      </c>
    </row>
    <row r="1784" spans="1:35" ht="12.75">
      <c r="A1784" s="6"/>
      <c r="B1784" s="6"/>
      <c r="C1784" s="6"/>
      <c r="D1784" s="10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 t="str">
        <f ca="1">IFERROR(__xludf.DUMMYFUNCTION("""COMPUTED_VALUE"""),"#N/A")</f>
        <v>#N/A</v>
      </c>
    </row>
    <row r="1785" spans="1:35" ht="12.75">
      <c r="A1785" s="6"/>
      <c r="B1785" s="6"/>
      <c r="C1785" s="6"/>
      <c r="D1785" s="10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 t="str">
        <f ca="1">IFERROR(__xludf.DUMMYFUNCTION("""COMPUTED_VALUE"""),"#N/A")</f>
        <v>#N/A</v>
      </c>
    </row>
    <row r="1786" spans="1:35" ht="12.75">
      <c r="A1786" s="6"/>
      <c r="B1786" s="6"/>
      <c r="C1786" s="6"/>
      <c r="D1786" s="10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 t="str">
        <f ca="1">IFERROR(__xludf.DUMMYFUNCTION("""COMPUTED_VALUE"""),"#N/A")</f>
        <v>#N/A</v>
      </c>
    </row>
    <row r="1787" spans="1:35" ht="12.75">
      <c r="A1787" s="6"/>
      <c r="B1787" s="6"/>
      <c r="C1787" s="6"/>
      <c r="D1787" s="10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 t="str">
        <f ca="1">IFERROR(__xludf.DUMMYFUNCTION("""COMPUTED_VALUE"""),"#N/A")</f>
        <v>#N/A</v>
      </c>
    </row>
    <row r="1788" spans="1:35" ht="12.75">
      <c r="A1788" s="6"/>
      <c r="B1788" s="6"/>
      <c r="C1788" s="6"/>
      <c r="D1788" s="10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 t="str">
        <f ca="1">IFERROR(__xludf.DUMMYFUNCTION("""COMPUTED_VALUE"""),"#N/A")</f>
        <v>#N/A</v>
      </c>
    </row>
    <row r="1789" spans="1:35" ht="12.75">
      <c r="A1789" s="6"/>
      <c r="B1789" s="6"/>
      <c r="C1789" s="6"/>
      <c r="D1789" s="10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 t="str">
        <f ca="1">IFERROR(__xludf.DUMMYFUNCTION("""COMPUTED_VALUE"""),"#N/A")</f>
        <v>#N/A</v>
      </c>
    </row>
    <row r="1790" spans="1:35" ht="12.75">
      <c r="A1790" s="6"/>
      <c r="B1790" s="6"/>
      <c r="C1790" s="6"/>
      <c r="D1790" s="10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 t="str">
        <f ca="1">IFERROR(__xludf.DUMMYFUNCTION("""COMPUTED_VALUE"""),"#N/A")</f>
        <v>#N/A</v>
      </c>
    </row>
    <row r="1791" spans="1:35" ht="12.75">
      <c r="A1791" s="6"/>
      <c r="B1791" s="6"/>
      <c r="C1791" s="6"/>
      <c r="D1791" s="10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 t="str">
        <f ca="1">IFERROR(__xludf.DUMMYFUNCTION("""COMPUTED_VALUE"""),"#N/A")</f>
        <v>#N/A</v>
      </c>
    </row>
    <row r="1792" spans="1:35" ht="12.75">
      <c r="A1792" s="6"/>
      <c r="B1792" s="6"/>
      <c r="C1792" s="6"/>
      <c r="D1792" s="10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 t="str">
        <f ca="1">IFERROR(__xludf.DUMMYFUNCTION("""COMPUTED_VALUE"""),"#N/A")</f>
        <v>#N/A</v>
      </c>
    </row>
    <row r="1793" spans="1:35" ht="12.75">
      <c r="A1793" s="6"/>
      <c r="B1793" s="6"/>
      <c r="C1793" s="6"/>
      <c r="D1793" s="10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 t="str">
        <f ca="1">IFERROR(__xludf.DUMMYFUNCTION("""COMPUTED_VALUE"""),"#N/A")</f>
        <v>#N/A</v>
      </c>
    </row>
    <row r="1794" spans="1:35" ht="12.75">
      <c r="A1794" s="6"/>
      <c r="B1794" s="6"/>
      <c r="C1794" s="6"/>
      <c r="D1794" s="10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 t="str">
        <f ca="1">IFERROR(__xludf.DUMMYFUNCTION("""COMPUTED_VALUE"""),"#N/A")</f>
        <v>#N/A</v>
      </c>
    </row>
    <row r="1795" spans="1:35" ht="12.75">
      <c r="A1795" s="6"/>
      <c r="B1795" s="6"/>
      <c r="C1795" s="6"/>
      <c r="D1795" s="10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 t="str">
        <f ca="1">IFERROR(__xludf.DUMMYFUNCTION("""COMPUTED_VALUE"""),"#N/A")</f>
        <v>#N/A</v>
      </c>
    </row>
    <row r="1796" spans="1:35" ht="12.75">
      <c r="A1796" s="6"/>
      <c r="B1796" s="6"/>
      <c r="C1796" s="6"/>
      <c r="D1796" s="10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 t="str">
        <f ca="1">IFERROR(__xludf.DUMMYFUNCTION("""COMPUTED_VALUE"""),"#N/A")</f>
        <v>#N/A</v>
      </c>
    </row>
    <row r="1797" spans="1:35" ht="12.75">
      <c r="A1797" s="6"/>
      <c r="B1797" s="6"/>
      <c r="C1797" s="6"/>
      <c r="D1797" s="10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 t="str">
        <f ca="1">IFERROR(__xludf.DUMMYFUNCTION("""COMPUTED_VALUE"""),"#N/A")</f>
        <v>#N/A</v>
      </c>
    </row>
    <row r="1798" spans="1:35" ht="12.75">
      <c r="A1798" s="6"/>
      <c r="B1798" s="6"/>
      <c r="C1798" s="6"/>
      <c r="D1798" s="10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 t="str">
        <f ca="1">IFERROR(__xludf.DUMMYFUNCTION("""COMPUTED_VALUE"""),"#N/A")</f>
        <v>#N/A</v>
      </c>
    </row>
    <row r="1799" spans="1:35" ht="12.75">
      <c r="A1799" s="6"/>
      <c r="B1799" s="6"/>
      <c r="C1799" s="6"/>
      <c r="D1799" s="10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 t="str">
        <f ca="1">IFERROR(__xludf.DUMMYFUNCTION("""COMPUTED_VALUE"""),"#N/A")</f>
        <v>#N/A</v>
      </c>
    </row>
    <row r="1800" spans="1:35" ht="12.75">
      <c r="A1800" s="6"/>
      <c r="B1800" s="6"/>
      <c r="C1800" s="6"/>
      <c r="D1800" s="10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 t="str">
        <f ca="1">IFERROR(__xludf.DUMMYFUNCTION("""COMPUTED_VALUE"""),"#N/A")</f>
        <v>#N/A</v>
      </c>
    </row>
    <row r="1801" spans="1:35" ht="12.75">
      <c r="A1801" s="6"/>
      <c r="B1801" s="6"/>
      <c r="C1801" s="6"/>
      <c r="D1801" s="10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 t="str">
        <f ca="1">IFERROR(__xludf.DUMMYFUNCTION("""COMPUTED_VALUE"""),"#N/A")</f>
        <v>#N/A</v>
      </c>
    </row>
    <row r="1802" spans="1:35" ht="12.75">
      <c r="A1802" s="6"/>
      <c r="B1802" s="6"/>
      <c r="C1802" s="6"/>
      <c r="D1802" s="10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 t="str">
        <f ca="1">IFERROR(__xludf.DUMMYFUNCTION("""COMPUTED_VALUE"""),"#N/A")</f>
        <v>#N/A</v>
      </c>
    </row>
    <row r="1803" spans="1:35" ht="12.75">
      <c r="A1803" s="6"/>
      <c r="B1803" s="6"/>
      <c r="C1803" s="6"/>
      <c r="D1803" s="10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 t="str">
        <f ca="1">IFERROR(__xludf.DUMMYFUNCTION("""COMPUTED_VALUE"""),"#N/A")</f>
        <v>#N/A</v>
      </c>
    </row>
    <row r="1804" spans="1:35" ht="12.75">
      <c r="A1804" s="6"/>
      <c r="B1804" s="6"/>
      <c r="C1804" s="6"/>
      <c r="D1804" s="10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 t="str">
        <f ca="1">IFERROR(__xludf.DUMMYFUNCTION("""COMPUTED_VALUE"""),"#N/A")</f>
        <v>#N/A</v>
      </c>
    </row>
    <row r="1805" spans="1:35" ht="12.75">
      <c r="A1805" s="6"/>
      <c r="B1805" s="6"/>
      <c r="C1805" s="6"/>
      <c r="D1805" s="10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 t="str">
        <f ca="1">IFERROR(__xludf.DUMMYFUNCTION("""COMPUTED_VALUE"""),"#N/A")</f>
        <v>#N/A</v>
      </c>
    </row>
    <row r="1806" spans="1:35" ht="12.75">
      <c r="A1806" s="6"/>
      <c r="B1806" s="6"/>
      <c r="C1806" s="6"/>
      <c r="D1806" s="10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 t="str">
        <f ca="1">IFERROR(__xludf.DUMMYFUNCTION("""COMPUTED_VALUE"""),"#N/A")</f>
        <v>#N/A</v>
      </c>
    </row>
    <row r="1807" spans="1:35" ht="12.75">
      <c r="A1807" s="6"/>
      <c r="B1807" s="6"/>
      <c r="C1807" s="6"/>
      <c r="D1807" s="10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 t="str">
        <f ca="1">IFERROR(__xludf.DUMMYFUNCTION("""COMPUTED_VALUE"""),"#N/A")</f>
        <v>#N/A</v>
      </c>
    </row>
    <row r="1808" spans="1:35" ht="12.75">
      <c r="A1808" s="6"/>
      <c r="B1808" s="6"/>
      <c r="C1808" s="6"/>
      <c r="D1808" s="10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 t="str">
        <f ca="1">IFERROR(__xludf.DUMMYFUNCTION("""COMPUTED_VALUE"""),"#N/A")</f>
        <v>#N/A</v>
      </c>
    </row>
    <row r="1809" spans="1:35" ht="12.75">
      <c r="A1809" s="6"/>
      <c r="B1809" s="6"/>
      <c r="C1809" s="6"/>
      <c r="D1809" s="10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 t="str">
        <f ca="1">IFERROR(__xludf.DUMMYFUNCTION("""COMPUTED_VALUE"""),"#N/A")</f>
        <v>#N/A</v>
      </c>
    </row>
    <row r="1810" spans="1:35" ht="12.75">
      <c r="A1810" s="6"/>
      <c r="B1810" s="6"/>
      <c r="C1810" s="6"/>
      <c r="D1810" s="10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 t="str">
        <f ca="1">IFERROR(__xludf.DUMMYFUNCTION("""COMPUTED_VALUE"""),"#N/A")</f>
        <v>#N/A</v>
      </c>
    </row>
    <row r="1811" spans="1:35" ht="12.75">
      <c r="A1811" s="6"/>
      <c r="B1811" s="6"/>
      <c r="C1811" s="6"/>
      <c r="D1811" s="10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 t="str">
        <f ca="1">IFERROR(__xludf.DUMMYFUNCTION("""COMPUTED_VALUE"""),"#N/A")</f>
        <v>#N/A</v>
      </c>
    </row>
    <row r="1812" spans="1:35" ht="12.75">
      <c r="A1812" s="6"/>
      <c r="B1812" s="6"/>
      <c r="C1812" s="6"/>
      <c r="D1812" s="10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 t="str">
        <f ca="1">IFERROR(__xludf.DUMMYFUNCTION("""COMPUTED_VALUE"""),"#N/A")</f>
        <v>#N/A</v>
      </c>
    </row>
    <row r="1813" spans="1:35" ht="12.75">
      <c r="A1813" s="6"/>
      <c r="B1813" s="6"/>
      <c r="C1813" s="6"/>
      <c r="D1813" s="10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 t="str">
        <f ca="1">IFERROR(__xludf.DUMMYFUNCTION("""COMPUTED_VALUE"""),"#N/A")</f>
        <v>#N/A</v>
      </c>
    </row>
    <row r="1814" spans="1:35" ht="12.75">
      <c r="A1814" s="6"/>
      <c r="B1814" s="6"/>
      <c r="C1814" s="6"/>
      <c r="D1814" s="10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 t="str">
        <f ca="1">IFERROR(__xludf.DUMMYFUNCTION("""COMPUTED_VALUE"""),"#N/A")</f>
        <v>#N/A</v>
      </c>
    </row>
    <row r="1815" spans="1:35" ht="12.75">
      <c r="A1815" s="6"/>
      <c r="B1815" s="6"/>
      <c r="C1815" s="6"/>
      <c r="D1815" s="10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 t="str">
        <f ca="1">IFERROR(__xludf.DUMMYFUNCTION("""COMPUTED_VALUE"""),"#N/A")</f>
        <v>#N/A</v>
      </c>
    </row>
    <row r="1816" spans="1:35" ht="12.75">
      <c r="A1816" s="6"/>
      <c r="B1816" s="6"/>
      <c r="C1816" s="6"/>
      <c r="D1816" s="10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 t="str">
        <f ca="1">IFERROR(__xludf.DUMMYFUNCTION("""COMPUTED_VALUE"""),"#N/A")</f>
        <v>#N/A</v>
      </c>
    </row>
    <row r="1817" spans="1:35" ht="12.75">
      <c r="A1817" s="6"/>
      <c r="B1817" s="6"/>
      <c r="C1817" s="6"/>
      <c r="D1817" s="10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 t="str">
        <f ca="1">IFERROR(__xludf.DUMMYFUNCTION("""COMPUTED_VALUE"""),"#N/A")</f>
        <v>#N/A</v>
      </c>
    </row>
    <row r="1818" spans="1:35" ht="12.75">
      <c r="A1818" s="6"/>
      <c r="B1818" s="6"/>
      <c r="C1818" s="6"/>
      <c r="D1818" s="10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 t="str">
        <f ca="1">IFERROR(__xludf.DUMMYFUNCTION("""COMPUTED_VALUE"""),"#N/A")</f>
        <v>#N/A</v>
      </c>
    </row>
    <row r="1819" spans="1:35" ht="12.75">
      <c r="A1819" s="6"/>
      <c r="B1819" s="6"/>
      <c r="C1819" s="6"/>
      <c r="D1819" s="10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 t="str">
        <f ca="1">IFERROR(__xludf.DUMMYFUNCTION("""COMPUTED_VALUE"""),"#N/A")</f>
        <v>#N/A</v>
      </c>
    </row>
    <row r="1820" spans="1:35" ht="12.75">
      <c r="A1820" s="6"/>
      <c r="B1820" s="6"/>
      <c r="C1820" s="6"/>
      <c r="D1820" s="10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 t="str">
        <f ca="1">IFERROR(__xludf.DUMMYFUNCTION("""COMPUTED_VALUE"""),"#N/A")</f>
        <v>#N/A</v>
      </c>
    </row>
    <row r="1821" spans="1:35" ht="12.75">
      <c r="A1821" s="6"/>
      <c r="B1821" s="6"/>
      <c r="C1821" s="6"/>
      <c r="D1821" s="10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 t="str">
        <f ca="1">IFERROR(__xludf.DUMMYFUNCTION("""COMPUTED_VALUE"""),"#N/A")</f>
        <v>#N/A</v>
      </c>
    </row>
    <row r="1822" spans="1:35" ht="12.75">
      <c r="A1822" s="6"/>
      <c r="B1822" s="6"/>
      <c r="C1822" s="6"/>
      <c r="D1822" s="10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 t="str">
        <f ca="1">IFERROR(__xludf.DUMMYFUNCTION("""COMPUTED_VALUE"""),"#N/A")</f>
        <v>#N/A</v>
      </c>
    </row>
    <row r="1823" spans="1:35" ht="12.75">
      <c r="A1823" s="6"/>
      <c r="B1823" s="6"/>
      <c r="C1823" s="6"/>
      <c r="D1823" s="10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 t="str">
        <f ca="1">IFERROR(__xludf.DUMMYFUNCTION("""COMPUTED_VALUE"""),"#N/A")</f>
        <v>#N/A</v>
      </c>
    </row>
    <row r="1824" spans="1:35" ht="12.75">
      <c r="A1824" s="6"/>
      <c r="B1824" s="6"/>
      <c r="C1824" s="6"/>
      <c r="D1824" s="10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 t="str">
        <f ca="1">IFERROR(__xludf.DUMMYFUNCTION("""COMPUTED_VALUE"""),"#N/A")</f>
        <v>#N/A</v>
      </c>
    </row>
    <row r="1825" spans="1:35" ht="12.75">
      <c r="A1825" s="6"/>
      <c r="B1825" s="6"/>
      <c r="C1825" s="6"/>
      <c r="D1825" s="10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 t="str">
        <f ca="1">IFERROR(__xludf.DUMMYFUNCTION("""COMPUTED_VALUE"""),"#N/A")</f>
        <v>#N/A</v>
      </c>
    </row>
    <row r="1826" spans="1:35" ht="12.75">
      <c r="A1826" s="6"/>
      <c r="B1826" s="6"/>
      <c r="C1826" s="6"/>
      <c r="D1826" s="10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 t="str">
        <f ca="1">IFERROR(__xludf.DUMMYFUNCTION("""COMPUTED_VALUE"""),"#N/A")</f>
        <v>#N/A</v>
      </c>
    </row>
    <row r="1827" spans="1:35" ht="12.75">
      <c r="A1827" s="6"/>
      <c r="B1827" s="6"/>
      <c r="C1827" s="6"/>
      <c r="D1827" s="10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 t="str">
        <f ca="1">IFERROR(__xludf.DUMMYFUNCTION("""COMPUTED_VALUE"""),"#N/A")</f>
        <v>#N/A</v>
      </c>
    </row>
    <row r="1828" spans="1:35" ht="12.75">
      <c r="A1828" s="6"/>
      <c r="B1828" s="6"/>
      <c r="C1828" s="6"/>
      <c r="D1828" s="10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 t="str">
        <f ca="1">IFERROR(__xludf.DUMMYFUNCTION("""COMPUTED_VALUE"""),"#N/A")</f>
        <v>#N/A</v>
      </c>
    </row>
    <row r="1829" spans="1:35" ht="12.75">
      <c r="A1829" s="6"/>
      <c r="B1829" s="6"/>
      <c r="C1829" s="6"/>
      <c r="D1829" s="10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 t="str">
        <f ca="1">IFERROR(__xludf.DUMMYFUNCTION("""COMPUTED_VALUE"""),"#N/A")</f>
        <v>#N/A</v>
      </c>
    </row>
    <row r="1830" spans="1:35" ht="12.75">
      <c r="A1830" s="6"/>
      <c r="B1830" s="6"/>
      <c r="C1830" s="6"/>
      <c r="D1830" s="10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 t="str">
        <f ca="1">IFERROR(__xludf.DUMMYFUNCTION("""COMPUTED_VALUE"""),"#N/A")</f>
        <v>#N/A</v>
      </c>
    </row>
    <row r="1831" spans="1:35" ht="12.75">
      <c r="A1831" s="6"/>
      <c r="B1831" s="6"/>
      <c r="C1831" s="6"/>
      <c r="D1831" s="10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 t="str">
        <f ca="1">IFERROR(__xludf.DUMMYFUNCTION("""COMPUTED_VALUE"""),"#N/A")</f>
        <v>#N/A</v>
      </c>
    </row>
    <row r="1832" spans="1:35" ht="12.75">
      <c r="A1832" s="6"/>
      <c r="B1832" s="6"/>
      <c r="C1832" s="6"/>
      <c r="D1832" s="10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 t="str">
        <f ca="1">IFERROR(__xludf.DUMMYFUNCTION("""COMPUTED_VALUE"""),"#N/A")</f>
        <v>#N/A</v>
      </c>
    </row>
    <row r="1833" spans="1:35" ht="12.75">
      <c r="A1833" s="6"/>
      <c r="B1833" s="6"/>
      <c r="C1833" s="6"/>
      <c r="D1833" s="10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 t="str">
        <f ca="1">IFERROR(__xludf.DUMMYFUNCTION("""COMPUTED_VALUE"""),"#N/A")</f>
        <v>#N/A</v>
      </c>
    </row>
    <row r="1834" spans="1:35" ht="12.75">
      <c r="A1834" s="6"/>
      <c r="B1834" s="6"/>
      <c r="C1834" s="6"/>
      <c r="D1834" s="10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 t="str">
        <f ca="1">IFERROR(__xludf.DUMMYFUNCTION("""COMPUTED_VALUE"""),"#N/A")</f>
        <v>#N/A</v>
      </c>
    </row>
    <row r="1835" spans="1:35" ht="12.75">
      <c r="A1835" s="6"/>
      <c r="B1835" s="6"/>
      <c r="C1835" s="6"/>
      <c r="D1835" s="10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 t="str">
        <f ca="1">IFERROR(__xludf.DUMMYFUNCTION("""COMPUTED_VALUE"""),"#N/A")</f>
        <v>#N/A</v>
      </c>
    </row>
    <row r="1836" spans="1:35" ht="12.75">
      <c r="A1836" s="6"/>
      <c r="B1836" s="6"/>
      <c r="C1836" s="6"/>
      <c r="D1836" s="10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 t="str">
        <f ca="1">IFERROR(__xludf.DUMMYFUNCTION("""COMPUTED_VALUE"""),"#N/A")</f>
        <v>#N/A</v>
      </c>
    </row>
    <row r="1837" spans="1:35" ht="12.75">
      <c r="A1837" s="6"/>
      <c r="B1837" s="6"/>
      <c r="C1837" s="6"/>
      <c r="D1837" s="10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 t="str">
        <f ca="1">IFERROR(__xludf.DUMMYFUNCTION("""COMPUTED_VALUE"""),"#N/A")</f>
        <v>#N/A</v>
      </c>
    </row>
    <row r="1838" spans="1:35" ht="12.75">
      <c r="A1838" s="6"/>
      <c r="B1838" s="6"/>
      <c r="C1838" s="6"/>
      <c r="D1838" s="10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 t="str">
        <f ca="1">IFERROR(__xludf.DUMMYFUNCTION("""COMPUTED_VALUE"""),"#N/A")</f>
        <v>#N/A</v>
      </c>
    </row>
    <row r="1839" spans="1:35" ht="12.75">
      <c r="A1839" s="6"/>
      <c r="B1839" s="6"/>
      <c r="C1839" s="6"/>
      <c r="D1839" s="10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 t="str">
        <f ca="1">IFERROR(__xludf.DUMMYFUNCTION("""COMPUTED_VALUE"""),"#N/A")</f>
        <v>#N/A</v>
      </c>
    </row>
    <row r="1840" spans="1:35" ht="12.75">
      <c r="A1840" s="6"/>
      <c r="B1840" s="6"/>
      <c r="C1840" s="6"/>
      <c r="D1840" s="10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 t="str">
        <f ca="1">IFERROR(__xludf.DUMMYFUNCTION("""COMPUTED_VALUE"""),"#N/A")</f>
        <v>#N/A</v>
      </c>
    </row>
    <row r="1841" spans="1:35" ht="12.75">
      <c r="A1841" s="6"/>
      <c r="B1841" s="6"/>
      <c r="C1841" s="6"/>
      <c r="D1841" s="10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 t="str">
        <f ca="1">IFERROR(__xludf.DUMMYFUNCTION("""COMPUTED_VALUE"""),"#N/A")</f>
        <v>#N/A</v>
      </c>
    </row>
    <row r="1842" spans="1:35" ht="12.75">
      <c r="A1842" s="6"/>
      <c r="B1842" s="6"/>
      <c r="C1842" s="6"/>
      <c r="D1842" s="10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 t="str">
        <f ca="1">IFERROR(__xludf.DUMMYFUNCTION("""COMPUTED_VALUE"""),"#N/A")</f>
        <v>#N/A</v>
      </c>
    </row>
    <row r="1843" spans="1:35" ht="12.75">
      <c r="A1843" s="6"/>
      <c r="B1843" s="6"/>
      <c r="C1843" s="6"/>
      <c r="D1843" s="10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 t="str">
        <f ca="1">IFERROR(__xludf.DUMMYFUNCTION("""COMPUTED_VALUE"""),"#N/A")</f>
        <v>#N/A</v>
      </c>
    </row>
    <row r="1844" spans="1:35" ht="12.75">
      <c r="A1844" s="6"/>
      <c r="B1844" s="6"/>
      <c r="C1844" s="6"/>
      <c r="D1844" s="10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 t="str">
        <f ca="1">IFERROR(__xludf.DUMMYFUNCTION("""COMPUTED_VALUE"""),"#N/A")</f>
        <v>#N/A</v>
      </c>
    </row>
    <row r="1845" spans="1:35" ht="12.75">
      <c r="A1845" s="6"/>
      <c r="B1845" s="6"/>
      <c r="C1845" s="6"/>
      <c r="D1845" s="10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 t="str">
        <f ca="1">IFERROR(__xludf.DUMMYFUNCTION("""COMPUTED_VALUE"""),"#N/A")</f>
        <v>#N/A</v>
      </c>
    </row>
    <row r="1846" spans="1:35" ht="12.75">
      <c r="A1846" s="6"/>
      <c r="B1846" s="6"/>
      <c r="C1846" s="6"/>
      <c r="D1846" s="10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 t="str">
        <f ca="1">IFERROR(__xludf.DUMMYFUNCTION("""COMPUTED_VALUE"""),"#N/A")</f>
        <v>#N/A</v>
      </c>
    </row>
    <row r="1847" spans="1:35" ht="12.75">
      <c r="A1847" s="6"/>
      <c r="B1847" s="6"/>
      <c r="C1847" s="6"/>
      <c r="D1847" s="10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 t="str">
        <f ca="1">IFERROR(__xludf.DUMMYFUNCTION("""COMPUTED_VALUE"""),"#N/A")</f>
        <v>#N/A</v>
      </c>
    </row>
    <row r="1848" spans="1:35" ht="12.75">
      <c r="A1848" s="6"/>
      <c r="B1848" s="6"/>
      <c r="C1848" s="6"/>
      <c r="D1848" s="10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 t="str">
        <f ca="1">IFERROR(__xludf.DUMMYFUNCTION("""COMPUTED_VALUE"""),"#N/A")</f>
        <v>#N/A</v>
      </c>
    </row>
    <row r="1849" spans="1:35" ht="12.75">
      <c r="A1849" s="6"/>
      <c r="B1849" s="6"/>
      <c r="C1849" s="6"/>
      <c r="D1849" s="10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 t="str">
        <f ca="1">IFERROR(__xludf.DUMMYFUNCTION("""COMPUTED_VALUE"""),"#N/A")</f>
        <v>#N/A</v>
      </c>
    </row>
    <row r="1850" spans="1:35" ht="12.75">
      <c r="A1850" s="6"/>
      <c r="B1850" s="6"/>
      <c r="C1850" s="6"/>
      <c r="D1850" s="10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 t="str">
        <f ca="1">IFERROR(__xludf.DUMMYFUNCTION("""COMPUTED_VALUE"""),"#N/A")</f>
        <v>#N/A</v>
      </c>
    </row>
    <row r="1851" spans="1:35" ht="12.75">
      <c r="A1851" s="6"/>
      <c r="B1851" s="6"/>
      <c r="C1851" s="6"/>
      <c r="D1851" s="10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 t="str">
        <f ca="1">IFERROR(__xludf.DUMMYFUNCTION("""COMPUTED_VALUE"""),"#N/A")</f>
        <v>#N/A</v>
      </c>
    </row>
    <row r="1852" spans="1:35" ht="12.75">
      <c r="A1852" s="6"/>
      <c r="B1852" s="6"/>
      <c r="C1852" s="6"/>
      <c r="D1852" s="10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 t="str">
        <f ca="1">IFERROR(__xludf.DUMMYFUNCTION("""COMPUTED_VALUE"""),"#N/A")</f>
        <v>#N/A</v>
      </c>
    </row>
    <row r="1853" spans="1:35" ht="12.75">
      <c r="A1853" s="6"/>
      <c r="B1853" s="6"/>
      <c r="C1853" s="6"/>
      <c r="D1853" s="10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 t="str">
        <f ca="1">IFERROR(__xludf.DUMMYFUNCTION("""COMPUTED_VALUE"""),"#N/A")</f>
        <v>#N/A</v>
      </c>
    </row>
    <row r="1854" spans="1:35" ht="12.75">
      <c r="A1854" s="6"/>
      <c r="B1854" s="6"/>
      <c r="C1854" s="6"/>
      <c r="D1854" s="10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 t="str">
        <f ca="1">IFERROR(__xludf.DUMMYFUNCTION("""COMPUTED_VALUE"""),"#N/A")</f>
        <v>#N/A</v>
      </c>
    </row>
    <row r="1855" spans="1:35" ht="12.75">
      <c r="A1855" s="6"/>
      <c r="B1855" s="6"/>
      <c r="C1855" s="6"/>
      <c r="D1855" s="10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 t="str">
        <f ca="1">IFERROR(__xludf.DUMMYFUNCTION("""COMPUTED_VALUE"""),"#N/A")</f>
        <v>#N/A</v>
      </c>
    </row>
    <row r="1856" spans="1:35" ht="12.75">
      <c r="A1856" s="6"/>
      <c r="B1856" s="6"/>
      <c r="C1856" s="6"/>
      <c r="D1856" s="10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 t="str">
        <f ca="1">IFERROR(__xludf.DUMMYFUNCTION("""COMPUTED_VALUE"""),"#N/A")</f>
        <v>#N/A</v>
      </c>
    </row>
    <row r="1857" spans="1:35" ht="12.75">
      <c r="A1857" s="6"/>
      <c r="B1857" s="6"/>
      <c r="C1857" s="6"/>
      <c r="D1857" s="10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 t="str">
        <f ca="1">IFERROR(__xludf.DUMMYFUNCTION("""COMPUTED_VALUE"""),"#N/A")</f>
        <v>#N/A</v>
      </c>
    </row>
    <row r="1858" spans="1:35" ht="12.75">
      <c r="A1858" s="6"/>
      <c r="B1858" s="6"/>
      <c r="C1858" s="6"/>
      <c r="D1858" s="10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 t="str">
        <f ca="1">IFERROR(__xludf.DUMMYFUNCTION("""COMPUTED_VALUE"""),"#N/A")</f>
        <v>#N/A</v>
      </c>
    </row>
    <row r="1859" spans="1:35" ht="12.75">
      <c r="A1859" s="6"/>
      <c r="B1859" s="6"/>
      <c r="C1859" s="6"/>
      <c r="D1859" s="10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 t="str">
        <f ca="1">IFERROR(__xludf.DUMMYFUNCTION("""COMPUTED_VALUE"""),"#N/A")</f>
        <v>#N/A</v>
      </c>
    </row>
    <row r="1860" spans="1:35" ht="12.75">
      <c r="A1860" s="6"/>
      <c r="B1860" s="6"/>
      <c r="C1860" s="6"/>
      <c r="D1860" s="10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 t="str">
        <f ca="1">IFERROR(__xludf.DUMMYFUNCTION("""COMPUTED_VALUE"""),"#N/A")</f>
        <v>#N/A</v>
      </c>
    </row>
    <row r="1861" spans="1:35" ht="12.75">
      <c r="A1861" s="6"/>
      <c r="B1861" s="6"/>
      <c r="C1861" s="6"/>
      <c r="D1861" s="10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 t="str">
        <f ca="1">IFERROR(__xludf.DUMMYFUNCTION("""COMPUTED_VALUE"""),"#N/A")</f>
        <v>#N/A</v>
      </c>
    </row>
    <row r="1862" spans="1:35" ht="12.75">
      <c r="A1862" s="6"/>
      <c r="B1862" s="6"/>
      <c r="C1862" s="6"/>
      <c r="D1862" s="10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 t="str">
        <f ca="1">IFERROR(__xludf.DUMMYFUNCTION("""COMPUTED_VALUE"""),"#N/A")</f>
        <v>#N/A</v>
      </c>
    </row>
    <row r="1863" spans="1:35" ht="12.75">
      <c r="A1863" s="6"/>
      <c r="B1863" s="6"/>
      <c r="C1863" s="6"/>
      <c r="D1863" s="10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 t="str">
        <f ca="1">IFERROR(__xludf.DUMMYFUNCTION("""COMPUTED_VALUE"""),"#N/A")</f>
        <v>#N/A</v>
      </c>
    </row>
    <row r="1864" spans="1:35" ht="12.75">
      <c r="A1864" s="6"/>
      <c r="B1864" s="6"/>
      <c r="C1864" s="6"/>
      <c r="D1864" s="10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 t="str">
        <f ca="1">IFERROR(__xludf.DUMMYFUNCTION("""COMPUTED_VALUE"""),"#N/A")</f>
        <v>#N/A</v>
      </c>
    </row>
    <row r="1865" spans="1:35" ht="12.75">
      <c r="A1865" s="6"/>
      <c r="B1865" s="6"/>
      <c r="C1865" s="6"/>
      <c r="D1865" s="10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 t="str">
        <f ca="1">IFERROR(__xludf.DUMMYFUNCTION("""COMPUTED_VALUE"""),"#N/A")</f>
        <v>#N/A</v>
      </c>
    </row>
    <row r="1866" spans="1:35" ht="12.75">
      <c r="A1866" s="6"/>
      <c r="B1866" s="6"/>
      <c r="C1866" s="6"/>
      <c r="D1866" s="10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 t="str">
        <f ca="1">IFERROR(__xludf.DUMMYFUNCTION("""COMPUTED_VALUE"""),"#N/A")</f>
        <v>#N/A</v>
      </c>
    </row>
    <row r="1867" spans="1:35" ht="12.75">
      <c r="A1867" s="6"/>
      <c r="B1867" s="6"/>
      <c r="C1867" s="6"/>
      <c r="D1867" s="10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 t="str">
        <f ca="1">IFERROR(__xludf.DUMMYFUNCTION("""COMPUTED_VALUE"""),"#N/A")</f>
        <v>#N/A</v>
      </c>
    </row>
    <row r="1868" spans="1:35" ht="12.75">
      <c r="A1868" s="6"/>
      <c r="B1868" s="6"/>
      <c r="C1868" s="6"/>
      <c r="D1868" s="10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 t="str">
        <f ca="1">IFERROR(__xludf.DUMMYFUNCTION("""COMPUTED_VALUE"""),"#N/A")</f>
        <v>#N/A</v>
      </c>
    </row>
    <row r="1869" spans="1:35" ht="12.75">
      <c r="A1869" s="6"/>
      <c r="B1869" s="6"/>
      <c r="C1869" s="6"/>
      <c r="D1869" s="10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 t="str">
        <f ca="1">IFERROR(__xludf.DUMMYFUNCTION("""COMPUTED_VALUE"""),"#N/A")</f>
        <v>#N/A</v>
      </c>
    </row>
    <row r="1870" spans="1:35" ht="12.75">
      <c r="A1870" s="6"/>
      <c r="B1870" s="6"/>
      <c r="C1870" s="6"/>
      <c r="D1870" s="10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 t="str">
        <f ca="1">IFERROR(__xludf.DUMMYFUNCTION("""COMPUTED_VALUE"""),"#N/A")</f>
        <v>#N/A</v>
      </c>
    </row>
    <row r="1871" spans="1:35" ht="12.75">
      <c r="A1871" s="6"/>
      <c r="B1871" s="6"/>
      <c r="C1871" s="6"/>
      <c r="D1871" s="10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 t="str">
        <f ca="1">IFERROR(__xludf.DUMMYFUNCTION("""COMPUTED_VALUE"""),"#N/A")</f>
        <v>#N/A</v>
      </c>
    </row>
    <row r="1872" spans="1:35" ht="12.75">
      <c r="A1872" s="6"/>
      <c r="B1872" s="6"/>
      <c r="C1872" s="6"/>
      <c r="D1872" s="10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 t="str">
        <f ca="1">IFERROR(__xludf.DUMMYFUNCTION("""COMPUTED_VALUE"""),"#N/A")</f>
        <v>#N/A</v>
      </c>
    </row>
    <row r="1873" spans="1:35" ht="12.75">
      <c r="A1873" s="6"/>
      <c r="B1873" s="6"/>
      <c r="C1873" s="6"/>
      <c r="D1873" s="10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 t="str">
        <f ca="1">IFERROR(__xludf.DUMMYFUNCTION("""COMPUTED_VALUE"""),"#N/A")</f>
        <v>#N/A</v>
      </c>
    </row>
    <row r="1874" spans="1:35" ht="12.75">
      <c r="A1874" s="6"/>
      <c r="B1874" s="6"/>
      <c r="C1874" s="6"/>
      <c r="D1874" s="10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 t="str">
        <f ca="1">IFERROR(__xludf.DUMMYFUNCTION("""COMPUTED_VALUE"""),"#N/A")</f>
        <v>#N/A</v>
      </c>
    </row>
    <row r="1875" spans="1:35" ht="12.75">
      <c r="A1875" s="6"/>
      <c r="B1875" s="6"/>
      <c r="C1875" s="6"/>
      <c r="D1875" s="10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 t="str">
        <f ca="1">IFERROR(__xludf.DUMMYFUNCTION("""COMPUTED_VALUE"""),"#N/A")</f>
        <v>#N/A</v>
      </c>
    </row>
    <row r="1876" spans="1:35" ht="12.75">
      <c r="A1876" s="6"/>
      <c r="B1876" s="6"/>
      <c r="C1876" s="6"/>
      <c r="D1876" s="10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 t="str">
        <f ca="1">IFERROR(__xludf.DUMMYFUNCTION("""COMPUTED_VALUE"""),"#N/A")</f>
        <v>#N/A</v>
      </c>
    </row>
    <row r="1877" spans="1:35" ht="12.75">
      <c r="A1877" s="6"/>
      <c r="B1877" s="6"/>
      <c r="C1877" s="6"/>
      <c r="D1877" s="10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 t="str">
        <f ca="1">IFERROR(__xludf.DUMMYFUNCTION("""COMPUTED_VALUE"""),"#N/A")</f>
        <v>#N/A</v>
      </c>
    </row>
    <row r="1878" spans="1:35" ht="12.75">
      <c r="A1878" s="6"/>
      <c r="B1878" s="6"/>
      <c r="C1878" s="6"/>
      <c r="D1878" s="10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 t="str">
        <f ca="1">IFERROR(__xludf.DUMMYFUNCTION("""COMPUTED_VALUE"""),"#N/A")</f>
        <v>#N/A</v>
      </c>
    </row>
    <row r="1879" spans="1:35" ht="12.75">
      <c r="A1879" s="6"/>
      <c r="B1879" s="6"/>
      <c r="C1879" s="6"/>
      <c r="D1879" s="10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 t="str">
        <f ca="1">IFERROR(__xludf.DUMMYFUNCTION("""COMPUTED_VALUE"""),"#N/A")</f>
        <v>#N/A</v>
      </c>
    </row>
    <row r="1880" spans="1:35" ht="12.75">
      <c r="A1880" s="6"/>
      <c r="B1880" s="6"/>
      <c r="C1880" s="6"/>
      <c r="D1880" s="10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 t="str">
        <f ca="1">IFERROR(__xludf.DUMMYFUNCTION("""COMPUTED_VALUE"""),"#N/A")</f>
        <v>#N/A</v>
      </c>
    </row>
    <row r="1881" spans="1:35" ht="12.75">
      <c r="A1881" s="6"/>
      <c r="B1881" s="6"/>
      <c r="C1881" s="6"/>
      <c r="D1881" s="10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 t="str">
        <f ca="1">IFERROR(__xludf.DUMMYFUNCTION("""COMPUTED_VALUE"""),"#N/A")</f>
        <v>#N/A</v>
      </c>
    </row>
    <row r="1882" spans="1:35" ht="12.75">
      <c r="A1882" s="6"/>
      <c r="B1882" s="6"/>
      <c r="C1882" s="6"/>
      <c r="D1882" s="10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 t="str">
        <f ca="1">IFERROR(__xludf.DUMMYFUNCTION("""COMPUTED_VALUE"""),"#N/A")</f>
        <v>#N/A</v>
      </c>
    </row>
    <row r="1883" spans="1:35" ht="12.75">
      <c r="A1883" s="6"/>
      <c r="B1883" s="6"/>
      <c r="C1883" s="6"/>
      <c r="D1883" s="10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 t="str">
        <f ca="1">IFERROR(__xludf.DUMMYFUNCTION("""COMPUTED_VALUE"""),"#N/A")</f>
        <v>#N/A</v>
      </c>
    </row>
    <row r="1884" spans="1:35" ht="12.75">
      <c r="A1884" s="6"/>
      <c r="B1884" s="6"/>
      <c r="C1884" s="6"/>
      <c r="D1884" s="10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 t="str">
        <f ca="1">IFERROR(__xludf.DUMMYFUNCTION("""COMPUTED_VALUE"""),"#N/A")</f>
        <v>#N/A</v>
      </c>
    </row>
    <row r="1885" spans="1:35" ht="12.75">
      <c r="A1885" s="6"/>
      <c r="B1885" s="6"/>
      <c r="C1885" s="6"/>
      <c r="D1885" s="10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 t="str">
        <f ca="1">IFERROR(__xludf.DUMMYFUNCTION("""COMPUTED_VALUE"""),"#N/A")</f>
        <v>#N/A</v>
      </c>
    </row>
    <row r="1886" spans="1:35" ht="12.75">
      <c r="A1886" s="6"/>
      <c r="B1886" s="6"/>
      <c r="C1886" s="6"/>
      <c r="D1886" s="10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 t="str">
        <f ca="1">IFERROR(__xludf.DUMMYFUNCTION("""COMPUTED_VALUE"""),"#N/A")</f>
        <v>#N/A</v>
      </c>
    </row>
    <row r="1887" spans="1:35" ht="12.75">
      <c r="A1887" s="6"/>
      <c r="B1887" s="6"/>
      <c r="C1887" s="6"/>
      <c r="D1887" s="10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 t="str">
        <f ca="1">IFERROR(__xludf.DUMMYFUNCTION("""COMPUTED_VALUE"""),"#N/A")</f>
        <v>#N/A</v>
      </c>
    </row>
    <row r="1888" spans="1:35" ht="12.75">
      <c r="A1888" s="6"/>
      <c r="B1888" s="6"/>
      <c r="C1888" s="6"/>
      <c r="D1888" s="10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 t="str">
        <f ca="1">IFERROR(__xludf.DUMMYFUNCTION("""COMPUTED_VALUE"""),"#N/A")</f>
        <v>#N/A</v>
      </c>
    </row>
    <row r="1889" spans="1:35" ht="12.75">
      <c r="A1889" s="6"/>
      <c r="B1889" s="6"/>
      <c r="C1889" s="6"/>
      <c r="D1889" s="10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 t="str">
        <f ca="1">IFERROR(__xludf.DUMMYFUNCTION("""COMPUTED_VALUE"""),"#N/A")</f>
        <v>#N/A</v>
      </c>
    </row>
    <row r="1890" spans="1:35" ht="12.75">
      <c r="A1890" s="6"/>
      <c r="B1890" s="6"/>
      <c r="C1890" s="6"/>
      <c r="D1890" s="10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 t="str">
        <f ca="1">IFERROR(__xludf.DUMMYFUNCTION("""COMPUTED_VALUE"""),"#N/A")</f>
        <v>#N/A</v>
      </c>
    </row>
    <row r="1891" spans="1:35" ht="12.75">
      <c r="A1891" s="6"/>
      <c r="B1891" s="6"/>
      <c r="C1891" s="6"/>
      <c r="D1891" s="10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 t="str">
        <f ca="1">IFERROR(__xludf.DUMMYFUNCTION("""COMPUTED_VALUE"""),"#N/A")</f>
        <v>#N/A</v>
      </c>
    </row>
    <row r="1892" spans="1:35" ht="12.75">
      <c r="A1892" s="6"/>
      <c r="B1892" s="6"/>
      <c r="C1892" s="6"/>
      <c r="D1892" s="10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 t="str">
        <f ca="1">IFERROR(__xludf.DUMMYFUNCTION("""COMPUTED_VALUE"""),"#N/A")</f>
        <v>#N/A</v>
      </c>
    </row>
    <row r="1893" spans="1:35" ht="12.75">
      <c r="A1893" s="6"/>
      <c r="B1893" s="6"/>
      <c r="C1893" s="6"/>
      <c r="D1893" s="10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 t="str">
        <f ca="1">IFERROR(__xludf.DUMMYFUNCTION("""COMPUTED_VALUE"""),"#N/A")</f>
        <v>#N/A</v>
      </c>
    </row>
    <row r="1894" spans="1:35" ht="12.75">
      <c r="A1894" s="6"/>
      <c r="B1894" s="6"/>
      <c r="C1894" s="6"/>
      <c r="D1894" s="10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 t="str">
        <f ca="1">IFERROR(__xludf.DUMMYFUNCTION("""COMPUTED_VALUE"""),"#N/A")</f>
        <v>#N/A</v>
      </c>
    </row>
    <row r="1895" spans="1:35" ht="12.75">
      <c r="A1895" s="6"/>
      <c r="B1895" s="6"/>
      <c r="C1895" s="6"/>
      <c r="D1895" s="10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 t="str">
        <f ca="1">IFERROR(__xludf.DUMMYFUNCTION("""COMPUTED_VALUE"""),"#N/A")</f>
        <v>#N/A</v>
      </c>
    </row>
    <row r="1896" spans="1:35" ht="12.75">
      <c r="A1896" s="6"/>
      <c r="B1896" s="6"/>
      <c r="C1896" s="6"/>
      <c r="D1896" s="10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 t="str">
        <f ca="1">IFERROR(__xludf.DUMMYFUNCTION("""COMPUTED_VALUE"""),"#N/A")</f>
        <v>#N/A</v>
      </c>
    </row>
    <row r="1897" spans="1:35" ht="12.75">
      <c r="A1897" s="6"/>
      <c r="B1897" s="6"/>
      <c r="C1897" s="6"/>
      <c r="D1897" s="10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 t="str">
        <f ca="1">IFERROR(__xludf.DUMMYFUNCTION("""COMPUTED_VALUE"""),"#N/A")</f>
        <v>#N/A</v>
      </c>
    </row>
    <row r="1898" spans="1:35" ht="12.75">
      <c r="A1898" s="6"/>
      <c r="B1898" s="6"/>
      <c r="C1898" s="6"/>
      <c r="D1898" s="10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 t="str">
        <f ca="1">IFERROR(__xludf.DUMMYFUNCTION("""COMPUTED_VALUE"""),"#N/A")</f>
        <v>#N/A</v>
      </c>
    </row>
    <row r="1899" spans="1:35" ht="12.75">
      <c r="A1899" s="6"/>
      <c r="B1899" s="6"/>
      <c r="C1899" s="6"/>
      <c r="D1899" s="10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 t="str">
        <f ca="1">IFERROR(__xludf.DUMMYFUNCTION("""COMPUTED_VALUE"""),"#N/A")</f>
        <v>#N/A</v>
      </c>
    </row>
    <row r="1900" spans="1:35" ht="12.75">
      <c r="A1900" s="6"/>
      <c r="B1900" s="6"/>
      <c r="C1900" s="6"/>
      <c r="D1900" s="10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 t="str">
        <f ca="1">IFERROR(__xludf.DUMMYFUNCTION("""COMPUTED_VALUE"""),"#N/A")</f>
        <v>#N/A</v>
      </c>
    </row>
    <row r="1901" spans="1:35" ht="12.75">
      <c r="A1901" s="6"/>
      <c r="B1901" s="6"/>
      <c r="C1901" s="6"/>
      <c r="D1901" s="10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 t="str">
        <f ca="1">IFERROR(__xludf.DUMMYFUNCTION("""COMPUTED_VALUE"""),"#N/A")</f>
        <v>#N/A</v>
      </c>
    </row>
    <row r="1902" spans="1:35" ht="12.75">
      <c r="A1902" s="6"/>
      <c r="B1902" s="6"/>
      <c r="C1902" s="6"/>
      <c r="D1902" s="10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 t="str">
        <f ca="1">IFERROR(__xludf.DUMMYFUNCTION("""COMPUTED_VALUE"""),"#N/A")</f>
        <v>#N/A</v>
      </c>
    </row>
    <row r="1903" spans="1:35" ht="12.75">
      <c r="A1903" s="6"/>
      <c r="B1903" s="6"/>
      <c r="C1903" s="6"/>
      <c r="D1903" s="10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 t="str">
        <f ca="1">IFERROR(__xludf.DUMMYFUNCTION("""COMPUTED_VALUE"""),"#N/A")</f>
        <v>#N/A</v>
      </c>
    </row>
    <row r="1904" spans="1:35" ht="12.75">
      <c r="A1904" s="6"/>
      <c r="B1904" s="6"/>
      <c r="C1904" s="6"/>
      <c r="D1904" s="10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 t="str">
        <f ca="1">IFERROR(__xludf.DUMMYFUNCTION("""COMPUTED_VALUE"""),"#N/A")</f>
        <v>#N/A</v>
      </c>
    </row>
    <row r="1905" spans="1:35" ht="12.75">
      <c r="A1905" s="6"/>
      <c r="B1905" s="6"/>
      <c r="C1905" s="6"/>
      <c r="D1905" s="10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 t="str">
        <f ca="1">IFERROR(__xludf.DUMMYFUNCTION("""COMPUTED_VALUE"""),"#N/A")</f>
        <v>#N/A</v>
      </c>
    </row>
    <row r="1906" spans="1:35" ht="12.75">
      <c r="A1906" s="6"/>
      <c r="B1906" s="6"/>
      <c r="C1906" s="6"/>
      <c r="D1906" s="10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 t="str">
        <f ca="1">IFERROR(__xludf.DUMMYFUNCTION("""COMPUTED_VALUE"""),"#N/A")</f>
        <v>#N/A</v>
      </c>
    </row>
    <row r="1907" spans="1:35" ht="12.75">
      <c r="A1907" s="6"/>
      <c r="B1907" s="6"/>
      <c r="C1907" s="6"/>
      <c r="D1907" s="10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 t="str">
        <f ca="1">IFERROR(__xludf.DUMMYFUNCTION("""COMPUTED_VALUE"""),"#N/A")</f>
        <v>#N/A</v>
      </c>
    </row>
    <row r="1908" spans="1:35" ht="12.75">
      <c r="A1908" s="6"/>
      <c r="B1908" s="6"/>
      <c r="C1908" s="6"/>
      <c r="D1908" s="10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 t="str">
        <f ca="1">IFERROR(__xludf.DUMMYFUNCTION("""COMPUTED_VALUE"""),"#N/A")</f>
        <v>#N/A</v>
      </c>
    </row>
    <row r="1909" spans="1:35" ht="12.75">
      <c r="A1909" s="6"/>
      <c r="B1909" s="6"/>
      <c r="C1909" s="6"/>
      <c r="D1909" s="10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 t="str">
        <f ca="1">IFERROR(__xludf.DUMMYFUNCTION("""COMPUTED_VALUE"""),"#N/A")</f>
        <v>#N/A</v>
      </c>
    </row>
    <row r="1910" spans="1:35" ht="12.75">
      <c r="A1910" s="6"/>
      <c r="B1910" s="6"/>
      <c r="C1910" s="6"/>
      <c r="D1910" s="10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 t="str">
        <f ca="1">IFERROR(__xludf.DUMMYFUNCTION("""COMPUTED_VALUE"""),"#N/A")</f>
        <v>#N/A</v>
      </c>
    </row>
    <row r="1911" spans="1:35" ht="12.75">
      <c r="A1911" s="6"/>
      <c r="B1911" s="6"/>
      <c r="C1911" s="6"/>
      <c r="D1911" s="10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 t="str">
        <f ca="1">IFERROR(__xludf.DUMMYFUNCTION("""COMPUTED_VALUE"""),"#N/A")</f>
        <v>#N/A</v>
      </c>
    </row>
    <row r="1912" spans="1:35" ht="12.75">
      <c r="A1912" s="6"/>
      <c r="B1912" s="6"/>
      <c r="C1912" s="6"/>
      <c r="D1912" s="10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 t="str">
        <f ca="1">IFERROR(__xludf.DUMMYFUNCTION("""COMPUTED_VALUE"""),"#N/A")</f>
        <v>#N/A</v>
      </c>
    </row>
    <row r="1913" spans="1:35" ht="12.75">
      <c r="A1913" s="6"/>
      <c r="B1913" s="6"/>
      <c r="C1913" s="6"/>
      <c r="D1913" s="10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 t="str">
        <f ca="1">IFERROR(__xludf.DUMMYFUNCTION("""COMPUTED_VALUE"""),"#N/A")</f>
        <v>#N/A</v>
      </c>
    </row>
    <row r="1914" spans="1:35" ht="12.75">
      <c r="A1914" s="6"/>
      <c r="B1914" s="6"/>
      <c r="C1914" s="6"/>
      <c r="D1914" s="10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 t="str">
        <f ca="1">IFERROR(__xludf.DUMMYFUNCTION("""COMPUTED_VALUE"""),"#N/A")</f>
        <v>#N/A</v>
      </c>
    </row>
    <row r="1915" spans="1:35" ht="12.75">
      <c r="A1915" s="6"/>
      <c r="B1915" s="6"/>
      <c r="C1915" s="6"/>
      <c r="D1915" s="10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 t="str">
        <f ca="1">IFERROR(__xludf.DUMMYFUNCTION("""COMPUTED_VALUE"""),"#N/A")</f>
        <v>#N/A</v>
      </c>
    </row>
    <row r="1916" spans="1:35" ht="12.75">
      <c r="A1916" s="6"/>
      <c r="B1916" s="6"/>
      <c r="C1916" s="6"/>
      <c r="D1916" s="10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 t="str">
        <f ca="1">IFERROR(__xludf.DUMMYFUNCTION("""COMPUTED_VALUE"""),"#N/A")</f>
        <v>#N/A</v>
      </c>
    </row>
    <row r="1917" spans="1:35" ht="12.75">
      <c r="A1917" s="6"/>
      <c r="B1917" s="6"/>
      <c r="C1917" s="6"/>
      <c r="D1917" s="10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 t="str">
        <f ca="1">IFERROR(__xludf.DUMMYFUNCTION("""COMPUTED_VALUE"""),"#N/A")</f>
        <v>#N/A</v>
      </c>
    </row>
    <row r="1918" spans="1:35" ht="12.75">
      <c r="A1918" s="6"/>
      <c r="B1918" s="6"/>
      <c r="C1918" s="6"/>
      <c r="D1918" s="10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 t="str">
        <f ca="1">IFERROR(__xludf.DUMMYFUNCTION("""COMPUTED_VALUE"""),"#N/A")</f>
        <v>#N/A</v>
      </c>
    </row>
    <row r="1919" spans="1:35" ht="12.75">
      <c r="A1919" s="6"/>
      <c r="B1919" s="6"/>
      <c r="C1919" s="6"/>
      <c r="D1919" s="10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 t="str">
        <f ca="1">IFERROR(__xludf.DUMMYFUNCTION("""COMPUTED_VALUE"""),"#N/A")</f>
        <v>#N/A</v>
      </c>
    </row>
    <row r="1920" spans="1:35" ht="12.75">
      <c r="A1920" s="6"/>
      <c r="B1920" s="6"/>
      <c r="C1920" s="6"/>
      <c r="D1920" s="10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 t="str">
        <f ca="1">IFERROR(__xludf.DUMMYFUNCTION("""COMPUTED_VALUE"""),"#N/A")</f>
        <v>#N/A</v>
      </c>
    </row>
    <row r="1921" spans="1:35" ht="12.75">
      <c r="A1921" s="6"/>
      <c r="B1921" s="6"/>
      <c r="C1921" s="6"/>
      <c r="D1921" s="10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 t="str">
        <f ca="1">IFERROR(__xludf.DUMMYFUNCTION("""COMPUTED_VALUE"""),"#N/A")</f>
        <v>#N/A</v>
      </c>
    </row>
    <row r="1922" spans="1:35" ht="12.75">
      <c r="A1922" s="6"/>
      <c r="B1922" s="6"/>
      <c r="C1922" s="6"/>
      <c r="D1922" s="10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 t="str">
        <f ca="1">IFERROR(__xludf.DUMMYFUNCTION("""COMPUTED_VALUE"""),"#N/A")</f>
        <v>#N/A</v>
      </c>
    </row>
    <row r="1923" spans="1:35" ht="12.75">
      <c r="A1923" s="6"/>
      <c r="B1923" s="6"/>
      <c r="C1923" s="6"/>
      <c r="D1923" s="10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 t="str">
        <f ca="1">IFERROR(__xludf.DUMMYFUNCTION("""COMPUTED_VALUE"""),"#N/A")</f>
        <v>#N/A</v>
      </c>
    </row>
    <row r="1924" spans="1:35" ht="12.75">
      <c r="A1924" s="6"/>
      <c r="B1924" s="6"/>
      <c r="C1924" s="6"/>
      <c r="D1924" s="10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 t="str">
        <f ca="1">IFERROR(__xludf.DUMMYFUNCTION("""COMPUTED_VALUE"""),"#N/A")</f>
        <v>#N/A</v>
      </c>
    </row>
    <row r="1925" spans="1:35" ht="12.75">
      <c r="A1925" s="6"/>
      <c r="B1925" s="6"/>
      <c r="C1925" s="6"/>
      <c r="D1925" s="10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 t="str">
        <f ca="1">IFERROR(__xludf.DUMMYFUNCTION("""COMPUTED_VALUE"""),"#N/A")</f>
        <v>#N/A</v>
      </c>
    </row>
    <row r="1926" spans="1:35" ht="12.75">
      <c r="A1926" s="6"/>
      <c r="B1926" s="6"/>
      <c r="C1926" s="6"/>
      <c r="D1926" s="10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 t="str">
        <f ca="1">IFERROR(__xludf.DUMMYFUNCTION("""COMPUTED_VALUE"""),"#N/A")</f>
        <v>#N/A</v>
      </c>
    </row>
    <row r="1927" spans="1:35" ht="12.75">
      <c r="A1927" s="6"/>
      <c r="B1927" s="6"/>
      <c r="C1927" s="6"/>
      <c r="D1927" s="10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 t="str">
        <f ca="1">IFERROR(__xludf.DUMMYFUNCTION("""COMPUTED_VALUE"""),"#N/A")</f>
        <v>#N/A</v>
      </c>
    </row>
    <row r="1928" spans="1:35" ht="12.75">
      <c r="A1928" s="6"/>
      <c r="B1928" s="6"/>
      <c r="C1928" s="6"/>
      <c r="D1928" s="10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 t="str">
        <f ca="1">IFERROR(__xludf.DUMMYFUNCTION("""COMPUTED_VALUE"""),"#N/A")</f>
        <v>#N/A</v>
      </c>
    </row>
    <row r="1929" spans="1:35" ht="12.75">
      <c r="A1929" s="6"/>
      <c r="B1929" s="6"/>
      <c r="C1929" s="6"/>
      <c r="D1929" s="10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 t="str">
        <f ca="1">IFERROR(__xludf.DUMMYFUNCTION("""COMPUTED_VALUE"""),"#N/A")</f>
        <v>#N/A</v>
      </c>
    </row>
    <row r="1930" spans="1:35" ht="12.75">
      <c r="A1930" s="6"/>
      <c r="B1930" s="6"/>
      <c r="C1930" s="6"/>
      <c r="D1930" s="10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 t="str">
        <f ca="1">IFERROR(__xludf.DUMMYFUNCTION("""COMPUTED_VALUE"""),"#N/A")</f>
        <v>#N/A</v>
      </c>
    </row>
    <row r="1931" spans="1:35" ht="12.75">
      <c r="A1931" s="6"/>
      <c r="B1931" s="6"/>
      <c r="C1931" s="6"/>
      <c r="D1931" s="10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 t="str">
        <f ca="1">IFERROR(__xludf.DUMMYFUNCTION("""COMPUTED_VALUE"""),"#N/A")</f>
        <v>#N/A</v>
      </c>
    </row>
    <row r="1932" spans="1:35" ht="12.75">
      <c r="A1932" s="6"/>
      <c r="B1932" s="6"/>
      <c r="C1932" s="6"/>
      <c r="D1932" s="10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 t="str">
        <f ca="1">IFERROR(__xludf.DUMMYFUNCTION("""COMPUTED_VALUE"""),"#N/A")</f>
        <v>#N/A</v>
      </c>
    </row>
    <row r="1933" spans="1:35" ht="12.75">
      <c r="A1933" s="6"/>
      <c r="B1933" s="6"/>
      <c r="C1933" s="6"/>
      <c r="D1933" s="10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 t="str">
        <f ca="1">IFERROR(__xludf.DUMMYFUNCTION("""COMPUTED_VALUE"""),"#N/A")</f>
        <v>#N/A</v>
      </c>
    </row>
    <row r="1934" spans="1:35" ht="12.75">
      <c r="A1934" s="6"/>
      <c r="B1934" s="6"/>
      <c r="C1934" s="6"/>
      <c r="D1934" s="10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 t="str">
        <f ca="1">IFERROR(__xludf.DUMMYFUNCTION("""COMPUTED_VALUE"""),"#N/A")</f>
        <v>#N/A</v>
      </c>
    </row>
    <row r="1935" spans="1:35" ht="12.75">
      <c r="A1935" s="6"/>
      <c r="B1935" s="6"/>
      <c r="C1935" s="6"/>
      <c r="D1935" s="10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 t="str">
        <f ca="1">IFERROR(__xludf.DUMMYFUNCTION("""COMPUTED_VALUE"""),"#N/A")</f>
        <v>#N/A</v>
      </c>
    </row>
    <row r="1936" spans="1:35" ht="12.75">
      <c r="A1936" s="6"/>
      <c r="B1936" s="6"/>
      <c r="C1936" s="6"/>
      <c r="D1936" s="10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 t="str">
        <f ca="1">IFERROR(__xludf.DUMMYFUNCTION("""COMPUTED_VALUE"""),"#N/A")</f>
        <v>#N/A</v>
      </c>
    </row>
    <row r="1937" spans="1:35" ht="12.75">
      <c r="A1937" s="6"/>
      <c r="B1937" s="6"/>
      <c r="C1937" s="6"/>
      <c r="D1937" s="10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 t="str">
        <f ca="1">IFERROR(__xludf.DUMMYFUNCTION("""COMPUTED_VALUE"""),"#N/A")</f>
        <v>#N/A</v>
      </c>
    </row>
    <row r="1938" spans="1:35" ht="12.75">
      <c r="A1938" s="6"/>
      <c r="B1938" s="6"/>
      <c r="C1938" s="6"/>
      <c r="D1938" s="10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 t="str">
        <f ca="1">IFERROR(__xludf.DUMMYFUNCTION("""COMPUTED_VALUE"""),"#N/A")</f>
        <v>#N/A</v>
      </c>
    </row>
    <row r="1939" spans="1:35" ht="12.75">
      <c r="A1939" s="6"/>
      <c r="B1939" s="6"/>
      <c r="C1939" s="6"/>
      <c r="D1939" s="10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 t="str">
        <f ca="1">IFERROR(__xludf.DUMMYFUNCTION("""COMPUTED_VALUE"""),"#N/A")</f>
        <v>#N/A</v>
      </c>
    </row>
    <row r="1940" spans="1:35" ht="12.75">
      <c r="A1940" s="6"/>
      <c r="B1940" s="6"/>
      <c r="C1940" s="6"/>
      <c r="D1940" s="10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 t="str">
        <f ca="1">IFERROR(__xludf.DUMMYFUNCTION("""COMPUTED_VALUE"""),"#N/A")</f>
        <v>#N/A</v>
      </c>
    </row>
    <row r="1941" spans="1:35" ht="12.75">
      <c r="A1941" s="6"/>
      <c r="B1941" s="6"/>
      <c r="C1941" s="6"/>
      <c r="D1941" s="10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 t="str">
        <f ca="1">IFERROR(__xludf.DUMMYFUNCTION("""COMPUTED_VALUE"""),"#N/A")</f>
        <v>#N/A</v>
      </c>
    </row>
    <row r="1942" spans="1:35" ht="12.75">
      <c r="A1942" s="6"/>
      <c r="B1942" s="6"/>
      <c r="C1942" s="6"/>
      <c r="D1942" s="10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 t="str">
        <f ca="1">IFERROR(__xludf.DUMMYFUNCTION("""COMPUTED_VALUE"""),"#N/A")</f>
        <v>#N/A</v>
      </c>
    </row>
    <row r="1943" spans="1:35" ht="12.75">
      <c r="A1943" s="6"/>
      <c r="B1943" s="6"/>
      <c r="C1943" s="6"/>
      <c r="D1943" s="10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 t="str">
        <f ca="1">IFERROR(__xludf.DUMMYFUNCTION("""COMPUTED_VALUE"""),"#N/A")</f>
        <v>#N/A</v>
      </c>
    </row>
    <row r="1944" spans="1:35" ht="12.75">
      <c r="A1944" s="6"/>
      <c r="B1944" s="6"/>
      <c r="C1944" s="6"/>
      <c r="D1944" s="10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 t="str">
        <f ca="1">IFERROR(__xludf.DUMMYFUNCTION("""COMPUTED_VALUE"""),"#N/A")</f>
        <v>#N/A</v>
      </c>
    </row>
    <row r="1945" spans="1:35" ht="12.75">
      <c r="A1945" s="6"/>
      <c r="B1945" s="6"/>
      <c r="C1945" s="6"/>
      <c r="D1945" s="10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 t="str">
        <f ca="1">IFERROR(__xludf.DUMMYFUNCTION("""COMPUTED_VALUE"""),"#N/A")</f>
        <v>#N/A</v>
      </c>
    </row>
    <row r="1946" spans="1:35" ht="12.75">
      <c r="A1946" s="6"/>
      <c r="B1946" s="6"/>
      <c r="C1946" s="6"/>
      <c r="D1946" s="10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 t="str">
        <f ca="1">IFERROR(__xludf.DUMMYFUNCTION("""COMPUTED_VALUE"""),"#N/A")</f>
        <v>#N/A</v>
      </c>
    </row>
    <row r="1947" spans="1:35" ht="12.75">
      <c r="A1947" s="6"/>
      <c r="B1947" s="6"/>
      <c r="C1947" s="6"/>
      <c r="D1947" s="10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 t="str">
        <f ca="1">IFERROR(__xludf.DUMMYFUNCTION("""COMPUTED_VALUE"""),"#N/A")</f>
        <v>#N/A</v>
      </c>
    </row>
    <row r="1948" spans="1:35" ht="12.75">
      <c r="A1948" s="6"/>
      <c r="B1948" s="6"/>
      <c r="C1948" s="6"/>
      <c r="D1948" s="10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 t="str">
        <f ca="1">IFERROR(__xludf.DUMMYFUNCTION("""COMPUTED_VALUE"""),"#N/A")</f>
        <v>#N/A</v>
      </c>
    </row>
    <row r="1949" spans="1:35" ht="12.75">
      <c r="A1949" s="6"/>
      <c r="B1949" s="6"/>
      <c r="C1949" s="6"/>
      <c r="D1949" s="10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 t="str">
        <f ca="1">IFERROR(__xludf.DUMMYFUNCTION("""COMPUTED_VALUE"""),"#N/A")</f>
        <v>#N/A</v>
      </c>
    </row>
    <row r="1950" spans="1:35" ht="12.75">
      <c r="A1950" s="6"/>
      <c r="B1950" s="6"/>
      <c r="C1950" s="6"/>
      <c r="D1950" s="10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 t="str">
        <f ca="1">IFERROR(__xludf.DUMMYFUNCTION("""COMPUTED_VALUE"""),"#N/A")</f>
        <v>#N/A</v>
      </c>
    </row>
    <row r="1951" spans="1:35" ht="12.75">
      <c r="A1951" s="6"/>
      <c r="B1951" s="6"/>
      <c r="C1951" s="6"/>
      <c r="D1951" s="10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 t="str">
        <f ca="1">IFERROR(__xludf.DUMMYFUNCTION("""COMPUTED_VALUE"""),"#N/A")</f>
        <v>#N/A</v>
      </c>
    </row>
    <row r="1952" spans="1:35" ht="12.75">
      <c r="A1952" s="6"/>
      <c r="B1952" s="6"/>
      <c r="C1952" s="6"/>
      <c r="D1952" s="10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 t="str">
        <f ca="1">IFERROR(__xludf.DUMMYFUNCTION("""COMPUTED_VALUE"""),"#N/A")</f>
        <v>#N/A</v>
      </c>
    </row>
    <row r="1953" spans="1:35" ht="12.75">
      <c r="A1953" s="6"/>
      <c r="B1953" s="6"/>
      <c r="C1953" s="6"/>
      <c r="D1953" s="10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 t="str">
        <f ca="1">IFERROR(__xludf.DUMMYFUNCTION("""COMPUTED_VALUE"""),"#N/A")</f>
        <v>#N/A</v>
      </c>
    </row>
    <row r="1954" spans="1:35" ht="12.75">
      <c r="A1954" s="6"/>
      <c r="B1954" s="6"/>
      <c r="C1954" s="6"/>
      <c r="D1954" s="10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 t="str">
        <f ca="1">IFERROR(__xludf.DUMMYFUNCTION("""COMPUTED_VALUE"""),"#N/A")</f>
        <v>#N/A</v>
      </c>
    </row>
    <row r="1955" spans="1:35" ht="12.75">
      <c r="A1955" s="6"/>
      <c r="B1955" s="6"/>
      <c r="C1955" s="6"/>
      <c r="D1955" s="10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 t="str">
        <f ca="1">IFERROR(__xludf.DUMMYFUNCTION("""COMPUTED_VALUE"""),"#N/A")</f>
        <v>#N/A</v>
      </c>
    </row>
    <row r="1956" spans="1:35" ht="12.75">
      <c r="A1956" s="6"/>
      <c r="B1956" s="6"/>
      <c r="C1956" s="6"/>
      <c r="D1956" s="10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 t="str">
        <f ca="1">IFERROR(__xludf.DUMMYFUNCTION("""COMPUTED_VALUE"""),"#N/A")</f>
        <v>#N/A</v>
      </c>
    </row>
    <row r="1957" spans="1:35" ht="12.75">
      <c r="A1957" s="6"/>
      <c r="B1957" s="6"/>
      <c r="C1957" s="6"/>
      <c r="D1957" s="10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 t="str">
        <f ca="1">IFERROR(__xludf.DUMMYFUNCTION("""COMPUTED_VALUE"""),"#N/A")</f>
        <v>#N/A</v>
      </c>
    </row>
    <row r="1958" spans="1:35" ht="12.75">
      <c r="A1958" s="6"/>
      <c r="B1958" s="6"/>
      <c r="C1958" s="6"/>
      <c r="D1958" s="10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 t="str">
        <f ca="1">IFERROR(__xludf.DUMMYFUNCTION("""COMPUTED_VALUE"""),"#N/A")</f>
        <v>#N/A</v>
      </c>
    </row>
    <row r="1959" spans="1:35" ht="12.75">
      <c r="A1959" s="6"/>
      <c r="B1959" s="6"/>
      <c r="C1959" s="6"/>
      <c r="D1959" s="10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 t="str">
        <f ca="1">IFERROR(__xludf.DUMMYFUNCTION("""COMPUTED_VALUE"""),"#N/A")</f>
        <v>#N/A</v>
      </c>
    </row>
    <row r="1960" spans="1:35" ht="12.75">
      <c r="A1960" s="6"/>
      <c r="B1960" s="6"/>
      <c r="C1960" s="6"/>
      <c r="D1960" s="10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 t="str">
        <f ca="1">IFERROR(__xludf.DUMMYFUNCTION("""COMPUTED_VALUE"""),"#N/A")</f>
        <v>#N/A</v>
      </c>
    </row>
    <row r="1961" spans="1:35" ht="12.75">
      <c r="A1961" s="6"/>
      <c r="B1961" s="6"/>
      <c r="C1961" s="6"/>
      <c r="D1961" s="10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 t="str">
        <f ca="1">IFERROR(__xludf.DUMMYFUNCTION("""COMPUTED_VALUE"""),"#N/A")</f>
        <v>#N/A</v>
      </c>
    </row>
    <row r="1962" spans="1:35" ht="12.75">
      <c r="A1962" s="6"/>
      <c r="B1962" s="6"/>
      <c r="C1962" s="6"/>
      <c r="D1962" s="10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 t="str">
        <f ca="1">IFERROR(__xludf.DUMMYFUNCTION("""COMPUTED_VALUE"""),"#N/A")</f>
        <v>#N/A</v>
      </c>
    </row>
    <row r="1963" spans="1:35" ht="12.75">
      <c r="A1963" s="6"/>
      <c r="B1963" s="6"/>
      <c r="C1963" s="6"/>
      <c r="D1963" s="10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 t="str">
        <f ca="1">IFERROR(__xludf.DUMMYFUNCTION("""COMPUTED_VALUE"""),"#N/A")</f>
        <v>#N/A</v>
      </c>
    </row>
    <row r="1964" spans="1:35" ht="12.75">
      <c r="A1964" s="6"/>
      <c r="B1964" s="6"/>
      <c r="C1964" s="6"/>
      <c r="D1964" s="10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 t="str">
        <f ca="1">IFERROR(__xludf.DUMMYFUNCTION("""COMPUTED_VALUE"""),"#N/A")</f>
        <v>#N/A</v>
      </c>
    </row>
    <row r="1965" spans="1:35" ht="12.75">
      <c r="A1965" s="6"/>
      <c r="B1965" s="6"/>
      <c r="C1965" s="6"/>
      <c r="D1965" s="10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 t="str">
        <f ca="1">IFERROR(__xludf.DUMMYFUNCTION("""COMPUTED_VALUE"""),"#N/A")</f>
        <v>#N/A</v>
      </c>
    </row>
    <row r="1966" spans="1:35" ht="12.75">
      <c r="A1966" s="6"/>
      <c r="B1966" s="6"/>
      <c r="C1966" s="6"/>
      <c r="D1966" s="10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 t="str">
        <f ca="1">IFERROR(__xludf.DUMMYFUNCTION("""COMPUTED_VALUE"""),"#N/A")</f>
        <v>#N/A</v>
      </c>
    </row>
    <row r="1967" spans="1:35" ht="12.75">
      <c r="A1967" s="6"/>
      <c r="B1967" s="6"/>
      <c r="C1967" s="6"/>
      <c r="D1967" s="10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 t="str">
        <f ca="1">IFERROR(__xludf.DUMMYFUNCTION("""COMPUTED_VALUE"""),"#N/A")</f>
        <v>#N/A</v>
      </c>
    </row>
    <row r="1968" spans="1:35" ht="12.75">
      <c r="A1968" s="6"/>
      <c r="B1968" s="6"/>
      <c r="C1968" s="6"/>
      <c r="D1968" s="10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 t="str">
        <f ca="1">IFERROR(__xludf.DUMMYFUNCTION("""COMPUTED_VALUE"""),"#N/A")</f>
        <v>#N/A</v>
      </c>
    </row>
    <row r="1969" spans="1:35" ht="12.75">
      <c r="A1969" s="6"/>
      <c r="B1969" s="6"/>
      <c r="C1969" s="6"/>
      <c r="D1969" s="10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 t="str">
        <f ca="1">IFERROR(__xludf.DUMMYFUNCTION("""COMPUTED_VALUE"""),"#N/A")</f>
        <v>#N/A</v>
      </c>
    </row>
    <row r="1970" spans="1:35" ht="12.75">
      <c r="A1970" s="6"/>
      <c r="B1970" s="6"/>
      <c r="C1970" s="6"/>
      <c r="D1970" s="10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 t="str">
        <f ca="1">IFERROR(__xludf.DUMMYFUNCTION("""COMPUTED_VALUE"""),"#N/A")</f>
        <v>#N/A</v>
      </c>
    </row>
    <row r="1971" spans="1:35" ht="12.75">
      <c r="A1971" s="6"/>
      <c r="B1971" s="6"/>
      <c r="C1971" s="6"/>
      <c r="D1971" s="10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 t="str">
        <f ca="1">IFERROR(__xludf.DUMMYFUNCTION("""COMPUTED_VALUE"""),"#N/A")</f>
        <v>#N/A</v>
      </c>
    </row>
    <row r="1972" spans="1:35" ht="12.75">
      <c r="A1972" s="6"/>
      <c r="B1972" s="6"/>
      <c r="C1972" s="6"/>
      <c r="D1972" s="10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 t="str">
        <f ca="1">IFERROR(__xludf.DUMMYFUNCTION("""COMPUTED_VALUE"""),"#N/A")</f>
        <v>#N/A</v>
      </c>
    </row>
    <row r="1973" spans="1:35" ht="12.75">
      <c r="A1973" s="6"/>
      <c r="B1973" s="6"/>
      <c r="C1973" s="6"/>
      <c r="D1973" s="10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 t="str">
        <f ca="1">IFERROR(__xludf.DUMMYFUNCTION("""COMPUTED_VALUE"""),"#N/A")</f>
        <v>#N/A</v>
      </c>
    </row>
    <row r="1974" spans="1:35" ht="12.75">
      <c r="A1974" s="6"/>
      <c r="B1974" s="6"/>
      <c r="C1974" s="6"/>
      <c r="D1974" s="10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 t="str">
        <f ca="1">IFERROR(__xludf.DUMMYFUNCTION("""COMPUTED_VALUE"""),"#N/A")</f>
        <v>#N/A</v>
      </c>
    </row>
    <row r="1975" spans="1:35" ht="12.75">
      <c r="A1975" s="6"/>
      <c r="B1975" s="6"/>
      <c r="C1975" s="6"/>
      <c r="D1975" s="10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 t="str">
        <f ca="1">IFERROR(__xludf.DUMMYFUNCTION("""COMPUTED_VALUE"""),"#N/A")</f>
        <v>#N/A</v>
      </c>
    </row>
    <row r="1976" spans="1:35" ht="12.75">
      <c r="A1976" s="6"/>
      <c r="B1976" s="6"/>
      <c r="C1976" s="6"/>
      <c r="D1976" s="10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 t="str">
        <f ca="1">IFERROR(__xludf.DUMMYFUNCTION("""COMPUTED_VALUE"""),"#N/A")</f>
        <v>#N/A</v>
      </c>
    </row>
    <row r="1977" spans="1:35" ht="12.75">
      <c r="A1977" s="6"/>
      <c r="B1977" s="6"/>
      <c r="C1977" s="6"/>
      <c r="D1977" s="10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 t="str">
        <f ca="1">IFERROR(__xludf.DUMMYFUNCTION("""COMPUTED_VALUE"""),"#N/A")</f>
        <v>#N/A</v>
      </c>
    </row>
    <row r="1978" spans="1:35" ht="12.75">
      <c r="A1978" s="6"/>
      <c r="B1978" s="6"/>
      <c r="C1978" s="6"/>
      <c r="D1978" s="10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 t="str">
        <f ca="1">IFERROR(__xludf.DUMMYFUNCTION("""COMPUTED_VALUE"""),"#N/A")</f>
        <v>#N/A</v>
      </c>
    </row>
    <row r="1979" spans="1:35" ht="12.75">
      <c r="A1979" s="6"/>
      <c r="B1979" s="6"/>
      <c r="C1979" s="6"/>
      <c r="D1979" s="10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 t="str">
        <f ca="1">IFERROR(__xludf.DUMMYFUNCTION("""COMPUTED_VALUE"""),"#N/A")</f>
        <v>#N/A</v>
      </c>
    </row>
    <row r="1980" spans="1:35" ht="12.75">
      <c r="A1980" s="6"/>
      <c r="B1980" s="6"/>
      <c r="C1980" s="6"/>
      <c r="D1980" s="10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 t="str">
        <f ca="1">IFERROR(__xludf.DUMMYFUNCTION("""COMPUTED_VALUE"""),"#N/A")</f>
        <v>#N/A</v>
      </c>
    </row>
    <row r="1981" spans="1:35" ht="12.75">
      <c r="A1981" s="6"/>
      <c r="B1981" s="6"/>
      <c r="C1981" s="6"/>
      <c r="D1981" s="10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 t="str">
        <f ca="1">IFERROR(__xludf.DUMMYFUNCTION("""COMPUTED_VALUE"""),"#N/A")</f>
        <v>#N/A</v>
      </c>
    </row>
    <row r="1982" spans="1:35" ht="12.75">
      <c r="A1982" s="6"/>
      <c r="B1982" s="6"/>
      <c r="C1982" s="6"/>
      <c r="D1982" s="10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 t="str">
        <f ca="1">IFERROR(__xludf.DUMMYFUNCTION("""COMPUTED_VALUE"""),"#N/A")</f>
        <v>#N/A</v>
      </c>
    </row>
    <row r="1983" spans="1:35" ht="12.75">
      <c r="A1983" s="6"/>
      <c r="B1983" s="6"/>
      <c r="C1983" s="6"/>
      <c r="D1983" s="10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 t="str">
        <f ca="1">IFERROR(__xludf.DUMMYFUNCTION("""COMPUTED_VALUE"""),"#N/A")</f>
        <v>#N/A</v>
      </c>
    </row>
    <row r="1984" spans="1:35" ht="12.75">
      <c r="A1984" s="6"/>
      <c r="B1984" s="6"/>
      <c r="C1984" s="6"/>
      <c r="D1984" s="10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 t="str">
        <f ca="1">IFERROR(__xludf.DUMMYFUNCTION("""COMPUTED_VALUE"""),"#N/A")</f>
        <v>#N/A</v>
      </c>
    </row>
    <row r="1985" spans="1:35" ht="12.75">
      <c r="A1985" s="6"/>
      <c r="B1985" s="6"/>
      <c r="C1985" s="6"/>
      <c r="D1985" s="10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 t="str">
        <f ca="1">IFERROR(__xludf.DUMMYFUNCTION("""COMPUTED_VALUE"""),"#N/A")</f>
        <v>#N/A</v>
      </c>
    </row>
    <row r="1986" spans="1:35" ht="12.75">
      <c r="A1986" s="6"/>
      <c r="B1986" s="6"/>
      <c r="C1986" s="6"/>
      <c r="D1986" s="10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 t="str">
        <f ca="1">IFERROR(__xludf.DUMMYFUNCTION("""COMPUTED_VALUE"""),"#N/A")</f>
        <v>#N/A</v>
      </c>
    </row>
    <row r="1987" spans="1:35" ht="12.75">
      <c r="A1987" s="6"/>
      <c r="B1987" s="6"/>
      <c r="C1987" s="6"/>
      <c r="D1987" s="10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 t="str">
        <f ca="1">IFERROR(__xludf.DUMMYFUNCTION("""COMPUTED_VALUE"""),"#N/A")</f>
        <v>#N/A</v>
      </c>
    </row>
    <row r="1988" spans="1:35" ht="12.75">
      <c r="A1988" s="6"/>
      <c r="B1988" s="6"/>
      <c r="C1988" s="6"/>
      <c r="D1988" s="10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 t="str">
        <f ca="1">IFERROR(__xludf.DUMMYFUNCTION("""COMPUTED_VALUE"""),"#N/A")</f>
        <v>#N/A</v>
      </c>
    </row>
    <row r="1989" spans="1:35" ht="12.75">
      <c r="A1989" s="6"/>
      <c r="B1989" s="6"/>
      <c r="C1989" s="6"/>
      <c r="D1989" s="10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 t="str">
        <f ca="1">IFERROR(__xludf.DUMMYFUNCTION("""COMPUTED_VALUE"""),"#N/A")</f>
        <v>#N/A</v>
      </c>
    </row>
    <row r="1990" spans="1:35" ht="12.75">
      <c r="A1990" s="6"/>
      <c r="B1990" s="6"/>
      <c r="C1990" s="6"/>
      <c r="D1990" s="10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 t="str">
        <f ca="1">IFERROR(__xludf.DUMMYFUNCTION("""COMPUTED_VALUE"""),"#N/A")</f>
        <v>#N/A</v>
      </c>
    </row>
    <row r="1991" spans="1:35" ht="12.75">
      <c r="A1991" s="6"/>
      <c r="B1991" s="6"/>
      <c r="C1991" s="6"/>
      <c r="D1991" s="10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 t="str">
        <f ca="1">IFERROR(__xludf.DUMMYFUNCTION("""COMPUTED_VALUE"""),"#N/A")</f>
        <v>#N/A</v>
      </c>
    </row>
    <row r="1992" spans="1:35" ht="12.75">
      <c r="A1992" s="6"/>
      <c r="B1992" s="6"/>
      <c r="C1992" s="6"/>
      <c r="D1992" s="10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 t="str">
        <f ca="1">IFERROR(__xludf.DUMMYFUNCTION("""COMPUTED_VALUE"""),"#N/A")</f>
        <v>#N/A</v>
      </c>
    </row>
    <row r="1993" spans="1:35" ht="12.75">
      <c r="A1993" s="6"/>
      <c r="B1993" s="6"/>
      <c r="C1993" s="6"/>
      <c r="D1993" s="10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 t="str">
        <f ca="1">IFERROR(__xludf.DUMMYFUNCTION("""COMPUTED_VALUE"""),"#N/A")</f>
        <v>#N/A</v>
      </c>
    </row>
    <row r="1994" spans="1:35" ht="12.75">
      <c r="A1994" s="6"/>
      <c r="B1994" s="6"/>
      <c r="C1994" s="6"/>
      <c r="D1994" s="10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 t="str">
        <f ca="1">IFERROR(__xludf.DUMMYFUNCTION("""COMPUTED_VALUE"""),"#N/A")</f>
        <v>#N/A</v>
      </c>
    </row>
    <row r="1995" spans="1:35" ht="12.75">
      <c r="A1995" s="6"/>
      <c r="B1995" s="6"/>
      <c r="C1995" s="6"/>
      <c r="D1995" s="10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 t="str">
        <f ca="1">IFERROR(__xludf.DUMMYFUNCTION("""COMPUTED_VALUE"""),"#N/A")</f>
        <v>#N/A</v>
      </c>
    </row>
    <row r="1996" spans="1:35" ht="12.75">
      <c r="A1996" s="6"/>
      <c r="B1996" s="6"/>
      <c r="C1996" s="6"/>
      <c r="D1996" s="10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 t="str">
        <f ca="1">IFERROR(__xludf.DUMMYFUNCTION("""COMPUTED_VALUE"""),"#N/A")</f>
        <v>#N/A</v>
      </c>
    </row>
    <row r="1997" spans="1:35" ht="12.75">
      <c r="A1997" s="6"/>
      <c r="B1997" s="6"/>
      <c r="C1997" s="6"/>
      <c r="D1997" s="10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 t="str">
        <f ca="1">IFERROR(__xludf.DUMMYFUNCTION("""COMPUTED_VALUE"""),"#N/A")</f>
        <v>#N/A</v>
      </c>
    </row>
    <row r="1998" spans="1:35" ht="12.75">
      <c r="A1998" s="6"/>
      <c r="B1998" s="6"/>
      <c r="C1998" s="6"/>
      <c r="D1998" s="10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 t="str">
        <f ca="1">IFERROR(__xludf.DUMMYFUNCTION("""COMPUTED_VALUE"""),"#N/A")</f>
        <v>#N/A</v>
      </c>
    </row>
    <row r="1999" spans="1:35" ht="12.75">
      <c r="A1999" s="6"/>
      <c r="B1999" s="6"/>
      <c r="C1999" s="6"/>
      <c r="D1999" s="10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 t="str">
        <f ca="1">IFERROR(__xludf.DUMMYFUNCTION("""COMPUTED_VALUE"""),"#N/A")</f>
        <v>#N/A</v>
      </c>
    </row>
    <row r="2000" spans="1:35" ht="12.75">
      <c r="A2000" s="6"/>
      <c r="B2000" s="6"/>
      <c r="C2000" s="6"/>
      <c r="D2000" s="10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 t="str">
        <f ca="1">IFERROR(__xludf.DUMMYFUNCTION("""COMPUTED_VALUE"""),"#N/A")</f>
        <v>#N/A</v>
      </c>
    </row>
    <row r="2001" spans="1:35" ht="12.75">
      <c r="A2001" s="6"/>
      <c r="B2001" s="6"/>
      <c r="C2001" s="6"/>
      <c r="D2001" s="10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 t="str">
        <f ca="1">IFERROR(__xludf.DUMMYFUNCTION("""COMPUTED_VALUE"""),"#N/A")</f>
        <v>#N/A</v>
      </c>
    </row>
    <row r="2002" spans="1:35" ht="12.75">
      <c r="A2002" s="6"/>
      <c r="B2002" s="6"/>
      <c r="C2002" s="6"/>
      <c r="D2002" s="10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 t="str">
        <f ca="1">IFERROR(__xludf.DUMMYFUNCTION("""COMPUTED_VALUE"""),"#N/A")</f>
        <v>#N/A</v>
      </c>
    </row>
    <row r="2003" spans="1:35" ht="12.75">
      <c r="A2003" s="6"/>
      <c r="B2003" s="6"/>
      <c r="C2003" s="6"/>
      <c r="D2003" s="10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 t="str">
        <f ca="1">IFERROR(__xludf.DUMMYFUNCTION("""COMPUTED_VALUE"""),"#N/A")</f>
        <v>#N/A</v>
      </c>
    </row>
    <row r="2004" spans="1:35" ht="12.75">
      <c r="A2004" s="6"/>
      <c r="B2004" s="6"/>
      <c r="C2004" s="6"/>
      <c r="D2004" s="10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 t="str">
        <f ca="1">IFERROR(__xludf.DUMMYFUNCTION("""COMPUTED_VALUE"""),"#N/A")</f>
        <v>#N/A</v>
      </c>
    </row>
    <row r="2005" spans="1:35" ht="12.75">
      <c r="A2005" s="6"/>
      <c r="B2005" s="6"/>
      <c r="C2005" s="6"/>
      <c r="D2005" s="10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 t="str">
        <f ca="1">IFERROR(__xludf.DUMMYFUNCTION("""COMPUTED_VALUE"""),"#N/A")</f>
        <v>#N/A</v>
      </c>
    </row>
    <row r="2006" spans="1:35" ht="12.75">
      <c r="A2006" s="6"/>
      <c r="B2006" s="6"/>
      <c r="C2006" s="6"/>
      <c r="D2006" s="10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 t="str">
        <f ca="1">IFERROR(__xludf.DUMMYFUNCTION("""COMPUTED_VALUE"""),"#N/A")</f>
        <v>#N/A</v>
      </c>
    </row>
    <row r="2007" spans="1:35" ht="12.75">
      <c r="A2007" s="6"/>
      <c r="B2007" s="6"/>
      <c r="C2007" s="6"/>
      <c r="D2007" s="10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 t="str">
        <f ca="1">IFERROR(__xludf.DUMMYFUNCTION("""COMPUTED_VALUE"""),"#N/A")</f>
        <v>#N/A</v>
      </c>
    </row>
    <row r="2008" spans="1:35" ht="12.75">
      <c r="A2008" s="6"/>
      <c r="B2008" s="6"/>
      <c r="C2008" s="6"/>
      <c r="D2008" s="10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 t="str">
        <f ca="1">IFERROR(__xludf.DUMMYFUNCTION("""COMPUTED_VALUE"""),"#N/A")</f>
        <v>#N/A</v>
      </c>
    </row>
    <row r="2009" spans="1:35" ht="12.75">
      <c r="A2009" s="6"/>
      <c r="B2009" s="6"/>
      <c r="C2009" s="6"/>
      <c r="D2009" s="10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 t="str">
        <f ca="1">IFERROR(__xludf.DUMMYFUNCTION("""COMPUTED_VALUE"""),"#N/A")</f>
        <v>#N/A</v>
      </c>
    </row>
    <row r="2010" spans="1:35" ht="12.75">
      <c r="A2010" s="6"/>
      <c r="B2010" s="6"/>
      <c r="C2010" s="6"/>
      <c r="D2010" s="10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 t="str">
        <f ca="1">IFERROR(__xludf.DUMMYFUNCTION("""COMPUTED_VALUE"""),"#N/A")</f>
        <v>#N/A</v>
      </c>
    </row>
    <row r="2011" spans="1:35" ht="12.75">
      <c r="A2011" s="6"/>
      <c r="B2011" s="6"/>
      <c r="C2011" s="6"/>
      <c r="D2011" s="10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 t="str">
        <f ca="1">IFERROR(__xludf.DUMMYFUNCTION("""COMPUTED_VALUE"""),"#N/A")</f>
        <v>#N/A</v>
      </c>
    </row>
    <row r="2012" spans="1:35" ht="12.75">
      <c r="A2012" s="6"/>
      <c r="B2012" s="6"/>
      <c r="C2012" s="6"/>
      <c r="D2012" s="10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 t="str">
        <f ca="1">IFERROR(__xludf.DUMMYFUNCTION("""COMPUTED_VALUE"""),"#N/A")</f>
        <v>#N/A</v>
      </c>
    </row>
    <row r="2013" spans="1:35" ht="12.75">
      <c r="A2013" s="6"/>
      <c r="B2013" s="6"/>
      <c r="C2013" s="6"/>
      <c r="D2013" s="10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 t="str">
        <f ca="1">IFERROR(__xludf.DUMMYFUNCTION("""COMPUTED_VALUE"""),"#N/A")</f>
        <v>#N/A</v>
      </c>
    </row>
    <row r="2014" spans="1:35" ht="12.75">
      <c r="A2014" s="6"/>
      <c r="B2014" s="6"/>
      <c r="C2014" s="6"/>
      <c r="D2014" s="10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 t="str">
        <f ca="1">IFERROR(__xludf.DUMMYFUNCTION("""COMPUTED_VALUE"""),"#N/A")</f>
        <v>#N/A</v>
      </c>
    </row>
    <row r="2015" spans="1:35" ht="12.75">
      <c r="A2015" s="6"/>
      <c r="B2015" s="6"/>
      <c r="C2015" s="6"/>
      <c r="D2015" s="10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 t="str">
        <f ca="1">IFERROR(__xludf.DUMMYFUNCTION("""COMPUTED_VALUE"""),"#N/A")</f>
        <v>#N/A</v>
      </c>
    </row>
    <row r="2016" spans="1:35" ht="12.75">
      <c r="A2016" s="6"/>
      <c r="B2016" s="6"/>
      <c r="C2016" s="6"/>
      <c r="D2016" s="10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 t="str">
        <f ca="1">IFERROR(__xludf.DUMMYFUNCTION("""COMPUTED_VALUE"""),"#N/A")</f>
        <v>#N/A</v>
      </c>
    </row>
    <row r="2017" spans="1:35" ht="12.75">
      <c r="A2017" s="6"/>
      <c r="B2017" s="6"/>
      <c r="C2017" s="6"/>
      <c r="D2017" s="10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 t="str">
        <f ca="1">IFERROR(__xludf.DUMMYFUNCTION("""COMPUTED_VALUE"""),"#N/A")</f>
        <v>#N/A</v>
      </c>
    </row>
    <row r="2018" spans="1:35" ht="12.75">
      <c r="A2018" s="6"/>
      <c r="B2018" s="6"/>
      <c r="C2018" s="6"/>
      <c r="D2018" s="10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 t="str">
        <f ca="1">IFERROR(__xludf.DUMMYFUNCTION("""COMPUTED_VALUE"""),"#N/A")</f>
        <v>#N/A</v>
      </c>
    </row>
    <row r="2019" spans="1:35" ht="12.75">
      <c r="A2019" s="6"/>
      <c r="B2019" s="6"/>
      <c r="C2019" s="6"/>
      <c r="D2019" s="10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 t="str">
        <f ca="1">IFERROR(__xludf.DUMMYFUNCTION("""COMPUTED_VALUE"""),"#N/A")</f>
        <v>#N/A</v>
      </c>
    </row>
    <row r="2020" spans="1:35" ht="12.75">
      <c r="A2020" s="6"/>
      <c r="B2020" s="6"/>
      <c r="C2020" s="6"/>
      <c r="D2020" s="10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 t="str">
        <f ca="1">IFERROR(__xludf.DUMMYFUNCTION("""COMPUTED_VALUE"""),"#N/A")</f>
        <v>#N/A</v>
      </c>
    </row>
    <row r="2021" spans="1:35" ht="12.75">
      <c r="A2021" s="6"/>
      <c r="B2021" s="6"/>
      <c r="C2021" s="6"/>
      <c r="D2021" s="10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 t="str">
        <f ca="1">IFERROR(__xludf.DUMMYFUNCTION("""COMPUTED_VALUE"""),"#N/A")</f>
        <v>#N/A</v>
      </c>
    </row>
    <row r="2022" spans="1:35" ht="12.75">
      <c r="A2022" s="6"/>
      <c r="B2022" s="6"/>
      <c r="C2022" s="6"/>
      <c r="D2022" s="10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 t="str">
        <f ca="1">IFERROR(__xludf.DUMMYFUNCTION("""COMPUTED_VALUE"""),"#N/A")</f>
        <v>#N/A</v>
      </c>
    </row>
    <row r="2023" spans="1:35" ht="12.75">
      <c r="A2023" s="6"/>
      <c r="B2023" s="6"/>
      <c r="C2023" s="6"/>
      <c r="D2023" s="10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 t="str">
        <f ca="1">IFERROR(__xludf.DUMMYFUNCTION("""COMPUTED_VALUE"""),"#N/A")</f>
        <v>#N/A</v>
      </c>
    </row>
    <row r="2024" spans="1:35" ht="12.75">
      <c r="A2024" s="6"/>
      <c r="B2024" s="6"/>
      <c r="C2024" s="6"/>
      <c r="D2024" s="10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 t="str">
        <f ca="1">IFERROR(__xludf.DUMMYFUNCTION("""COMPUTED_VALUE"""),"#N/A")</f>
        <v>#N/A</v>
      </c>
    </row>
    <row r="2025" spans="1:35" ht="12.75">
      <c r="A2025" s="6"/>
      <c r="B2025" s="6"/>
      <c r="C2025" s="6"/>
      <c r="D2025" s="10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 t="str">
        <f ca="1">IFERROR(__xludf.DUMMYFUNCTION("""COMPUTED_VALUE"""),"#N/A")</f>
        <v>#N/A</v>
      </c>
    </row>
    <row r="2026" spans="1:35" ht="12.75">
      <c r="A2026" s="6"/>
      <c r="B2026" s="6"/>
      <c r="C2026" s="6"/>
      <c r="D2026" s="10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 t="str">
        <f ca="1">IFERROR(__xludf.DUMMYFUNCTION("""COMPUTED_VALUE"""),"#N/A")</f>
        <v>#N/A</v>
      </c>
    </row>
    <row r="2027" spans="1:35" ht="12.75">
      <c r="A2027" s="6"/>
      <c r="B2027" s="6"/>
      <c r="C2027" s="6"/>
      <c r="D2027" s="10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 t="str">
        <f ca="1">IFERROR(__xludf.DUMMYFUNCTION("""COMPUTED_VALUE"""),"#N/A")</f>
        <v>#N/A</v>
      </c>
    </row>
    <row r="2028" spans="1:35" ht="12.75">
      <c r="A2028" s="6"/>
      <c r="B2028" s="6"/>
      <c r="C2028" s="6"/>
      <c r="D2028" s="10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 t="str">
        <f ca="1">IFERROR(__xludf.DUMMYFUNCTION("""COMPUTED_VALUE"""),"#N/A")</f>
        <v>#N/A</v>
      </c>
    </row>
    <row r="2029" spans="1:35" ht="12.75">
      <c r="A2029" s="6"/>
      <c r="B2029" s="6"/>
      <c r="C2029" s="6"/>
      <c r="D2029" s="10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 t="str">
        <f ca="1">IFERROR(__xludf.DUMMYFUNCTION("""COMPUTED_VALUE"""),"#N/A")</f>
        <v>#N/A</v>
      </c>
    </row>
    <row r="2030" spans="1:35" ht="12.75">
      <c r="A2030" s="6"/>
      <c r="B2030" s="6"/>
      <c r="C2030" s="6"/>
      <c r="D2030" s="10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 t="str">
        <f ca="1">IFERROR(__xludf.DUMMYFUNCTION("""COMPUTED_VALUE"""),"#N/A")</f>
        <v>#N/A</v>
      </c>
    </row>
    <row r="2031" spans="1:35" ht="12.75">
      <c r="A2031" s="6"/>
      <c r="B2031" s="6"/>
      <c r="C2031" s="6"/>
      <c r="D2031" s="10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 t="str">
        <f ca="1">IFERROR(__xludf.DUMMYFUNCTION("""COMPUTED_VALUE"""),"#N/A")</f>
        <v>#N/A</v>
      </c>
    </row>
    <row r="2032" spans="1:35" ht="12.75">
      <c r="A2032" s="6"/>
      <c r="B2032" s="6"/>
      <c r="C2032" s="6"/>
      <c r="D2032" s="10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 t="str">
        <f ca="1">IFERROR(__xludf.DUMMYFUNCTION("""COMPUTED_VALUE"""),"#N/A")</f>
        <v>#N/A</v>
      </c>
    </row>
    <row r="2033" spans="1:35" ht="12.75">
      <c r="A2033" s="6"/>
      <c r="B2033" s="6"/>
      <c r="C2033" s="6"/>
      <c r="D2033" s="10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 t="str">
        <f ca="1">IFERROR(__xludf.DUMMYFUNCTION("""COMPUTED_VALUE"""),"#N/A")</f>
        <v>#N/A</v>
      </c>
    </row>
    <row r="2034" spans="1:35" ht="12.75">
      <c r="A2034" s="6"/>
      <c r="B2034" s="6"/>
      <c r="C2034" s="6"/>
      <c r="D2034" s="10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 t="str">
        <f ca="1">IFERROR(__xludf.DUMMYFUNCTION("""COMPUTED_VALUE"""),"#N/A")</f>
        <v>#N/A</v>
      </c>
    </row>
    <row r="2035" spans="1:35" ht="12.75">
      <c r="A2035" s="6"/>
      <c r="B2035" s="6"/>
      <c r="C2035" s="6"/>
      <c r="D2035" s="10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 t="str">
        <f ca="1">IFERROR(__xludf.DUMMYFUNCTION("""COMPUTED_VALUE"""),"#N/A")</f>
        <v>#N/A</v>
      </c>
    </row>
    <row r="2036" spans="1:35" ht="12.75">
      <c r="A2036" s="6"/>
      <c r="B2036" s="6"/>
      <c r="C2036" s="6"/>
      <c r="D2036" s="10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 t="str">
        <f ca="1">IFERROR(__xludf.DUMMYFUNCTION("""COMPUTED_VALUE"""),"#N/A")</f>
        <v>#N/A</v>
      </c>
    </row>
    <row r="2037" spans="1:35" ht="12.75">
      <c r="A2037" s="6"/>
      <c r="B2037" s="6"/>
      <c r="C2037" s="6"/>
      <c r="D2037" s="10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 t="str">
        <f ca="1">IFERROR(__xludf.DUMMYFUNCTION("""COMPUTED_VALUE"""),"#N/A")</f>
        <v>#N/A</v>
      </c>
    </row>
    <row r="2038" spans="1:35" ht="12.75">
      <c r="A2038" s="6"/>
      <c r="B2038" s="6"/>
      <c r="C2038" s="6"/>
      <c r="D2038" s="10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 t="str">
        <f ca="1">IFERROR(__xludf.DUMMYFUNCTION("""COMPUTED_VALUE"""),"#N/A")</f>
        <v>#N/A</v>
      </c>
    </row>
    <row r="2039" spans="1:35" ht="12.75">
      <c r="A2039" s="6"/>
      <c r="B2039" s="6"/>
      <c r="C2039" s="6"/>
      <c r="D2039" s="10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 t="str">
        <f ca="1">IFERROR(__xludf.DUMMYFUNCTION("""COMPUTED_VALUE"""),"#N/A")</f>
        <v>#N/A</v>
      </c>
    </row>
    <row r="2040" spans="1:35" ht="12.75">
      <c r="A2040" s="6"/>
      <c r="B2040" s="6"/>
      <c r="C2040" s="6"/>
      <c r="D2040" s="10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 t="str">
        <f ca="1">IFERROR(__xludf.DUMMYFUNCTION("""COMPUTED_VALUE"""),"#N/A")</f>
        <v>#N/A</v>
      </c>
    </row>
    <row r="2041" spans="1:35" ht="12.75">
      <c r="A2041" s="6"/>
      <c r="B2041" s="6"/>
      <c r="C2041" s="6"/>
      <c r="D2041" s="10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 t="str">
        <f ca="1">IFERROR(__xludf.DUMMYFUNCTION("""COMPUTED_VALUE"""),"#N/A")</f>
        <v>#N/A</v>
      </c>
    </row>
    <row r="2042" spans="1:35" ht="12.75">
      <c r="A2042" s="6"/>
      <c r="B2042" s="6"/>
      <c r="C2042" s="6"/>
      <c r="D2042" s="10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 t="str">
        <f ca="1">IFERROR(__xludf.DUMMYFUNCTION("""COMPUTED_VALUE"""),"#N/A")</f>
        <v>#N/A</v>
      </c>
    </row>
    <row r="2043" spans="1:35" ht="12.75">
      <c r="A2043" s="6"/>
      <c r="B2043" s="6"/>
      <c r="C2043" s="6"/>
      <c r="D2043" s="10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 t="str">
        <f ca="1">IFERROR(__xludf.DUMMYFUNCTION("""COMPUTED_VALUE"""),"#N/A")</f>
        <v>#N/A</v>
      </c>
    </row>
    <row r="2044" spans="1:35" ht="12.75">
      <c r="A2044" s="6"/>
      <c r="B2044" s="6"/>
      <c r="C2044" s="6"/>
      <c r="D2044" s="10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 t="str">
        <f ca="1">IFERROR(__xludf.DUMMYFUNCTION("""COMPUTED_VALUE"""),"#N/A")</f>
        <v>#N/A</v>
      </c>
    </row>
    <row r="2045" spans="1:35" ht="12.75">
      <c r="A2045" s="6"/>
      <c r="B2045" s="6"/>
      <c r="C2045" s="6"/>
      <c r="D2045" s="10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 t="str">
        <f ca="1">IFERROR(__xludf.DUMMYFUNCTION("""COMPUTED_VALUE"""),"#N/A")</f>
        <v>#N/A</v>
      </c>
    </row>
    <row r="2046" spans="1:35" ht="12.75">
      <c r="A2046" s="6"/>
      <c r="B2046" s="6"/>
      <c r="C2046" s="6"/>
      <c r="D2046" s="10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 t="str">
        <f ca="1">IFERROR(__xludf.DUMMYFUNCTION("""COMPUTED_VALUE"""),"#N/A")</f>
        <v>#N/A</v>
      </c>
    </row>
    <row r="2047" spans="1:35" ht="12.75">
      <c r="A2047" s="6"/>
      <c r="B2047" s="6"/>
      <c r="C2047" s="6"/>
      <c r="D2047" s="10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 t="str">
        <f ca="1">IFERROR(__xludf.DUMMYFUNCTION("""COMPUTED_VALUE"""),"#N/A")</f>
        <v>#N/A</v>
      </c>
    </row>
    <row r="2048" spans="1:35" ht="12.75">
      <c r="A2048" s="6"/>
      <c r="B2048" s="6"/>
      <c r="C2048" s="6"/>
      <c r="D2048" s="10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 t="str">
        <f ca="1">IFERROR(__xludf.DUMMYFUNCTION("""COMPUTED_VALUE"""),"#N/A")</f>
        <v>#N/A</v>
      </c>
    </row>
    <row r="2049" spans="1:35" ht="12.75">
      <c r="A2049" s="6"/>
      <c r="B2049" s="6"/>
      <c r="C2049" s="6"/>
      <c r="D2049" s="10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 t="str">
        <f ca="1">IFERROR(__xludf.DUMMYFUNCTION("""COMPUTED_VALUE"""),"#N/A")</f>
        <v>#N/A</v>
      </c>
    </row>
    <row r="2050" spans="1:35" ht="12.75">
      <c r="A2050" s="6"/>
      <c r="B2050" s="6"/>
      <c r="C2050" s="6"/>
      <c r="D2050" s="10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 t="str">
        <f ca="1">IFERROR(__xludf.DUMMYFUNCTION("""COMPUTED_VALUE"""),"#N/A")</f>
        <v>#N/A</v>
      </c>
    </row>
    <row r="2051" spans="1:35" ht="12.75">
      <c r="A2051" s="6"/>
      <c r="B2051" s="6"/>
      <c r="C2051" s="6"/>
      <c r="D2051" s="10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 t="str">
        <f ca="1">IFERROR(__xludf.DUMMYFUNCTION("""COMPUTED_VALUE"""),"#N/A")</f>
        <v>#N/A</v>
      </c>
    </row>
    <row r="2052" spans="1:35" ht="12.75">
      <c r="A2052" s="6"/>
      <c r="B2052" s="6"/>
      <c r="C2052" s="6"/>
      <c r="D2052" s="10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 t="str">
        <f ca="1">IFERROR(__xludf.DUMMYFUNCTION("""COMPUTED_VALUE"""),"#N/A")</f>
        <v>#N/A</v>
      </c>
    </row>
    <row r="2053" spans="1:35" ht="12.75">
      <c r="A2053" s="6"/>
      <c r="B2053" s="6"/>
      <c r="C2053" s="6"/>
      <c r="D2053" s="10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 t="str">
        <f ca="1">IFERROR(__xludf.DUMMYFUNCTION("""COMPUTED_VALUE"""),"#N/A")</f>
        <v>#N/A</v>
      </c>
    </row>
    <row r="2054" spans="1:35" ht="12.75">
      <c r="A2054" s="6"/>
      <c r="B2054" s="6"/>
      <c r="C2054" s="6"/>
      <c r="D2054" s="10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 t="str">
        <f ca="1">IFERROR(__xludf.DUMMYFUNCTION("""COMPUTED_VALUE"""),"#N/A")</f>
        <v>#N/A</v>
      </c>
    </row>
    <row r="2055" spans="1:35" ht="12.75">
      <c r="A2055" s="6"/>
      <c r="B2055" s="6"/>
      <c r="C2055" s="6"/>
      <c r="D2055" s="10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 t="str">
        <f ca="1">IFERROR(__xludf.DUMMYFUNCTION("""COMPUTED_VALUE"""),"#N/A")</f>
        <v>#N/A</v>
      </c>
    </row>
    <row r="2056" spans="1:35" ht="12.75">
      <c r="A2056" s="6"/>
      <c r="B2056" s="6"/>
      <c r="C2056" s="6"/>
      <c r="D2056" s="10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 t="str">
        <f ca="1">IFERROR(__xludf.DUMMYFUNCTION("""COMPUTED_VALUE"""),"#N/A")</f>
        <v>#N/A</v>
      </c>
    </row>
    <row r="2057" spans="1:35" ht="12.75">
      <c r="A2057" s="6"/>
      <c r="B2057" s="6"/>
      <c r="C2057" s="6"/>
      <c r="D2057" s="10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 t="str">
        <f ca="1">IFERROR(__xludf.DUMMYFUNCTION("""COMPUTED_VALUE"""),"#N/A")</f>
        <v>#N/A</v>
      </c>
    </row>
    <row r="2058" spans="1:35" ht="12.75">
      <c r="A2058" s="6"/>
      <c r="B2058" s="6"/>
      <c r="C2058" s="6"/>
      <c r="D2058" s="10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 t="str">
        <f ca="1">IFERROR(__xludf.DUMMYFUNCTION("""COMPUTED_VALUE"""),"#N/A")</f>
        <v>#N/A</v>
      </c>
    </row>
    <row r="2059" spans="1:35" ht="12.75">
      <c r="A2059" s="6"/>
      <c r="B2059" s="6"/>
      <c r="C2059" s="6"/>
      <c r="D2059" s="10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 t="str">
        <f ca="1">IFERROR(__xludf.DUMMYFUNCTION("""COMPUTED_VALUE"""),"#N/A")</f>
        <v>#N/A</v>
      </c>
    </row>
    <row r="2060" spans="1:35" ht="12.75">
      <c r="A2060" s="6"/>
      <c r="B2060" s="6"/>
      <c r="C2060" s="6"/>
      <c r="D2060" s="10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 t="str">
        <f ca="1">IFERROR(__xludf.DUMMYFUNCTION("""COMPUTED_VALUE"""),"#N/A")</f>
        <v>#N/A</v>
      </c>
    </row>
    <row r="2061" spans="1:35" ht="12.75">
      <c r="A2061" s="6"/>
      <c r="B2061" s="6"/>
      <c r="C2061" s="6"/>
      <c r="D2061" s="10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 t="str">
        <f ca="1">IFERROR(__xludf.DUMMYFUNCTION("""COMPUTED_VALUE"""),"#N/A")</f>
        <v>#N/A</v>
      </c>
    </row>
    <row r="2062" spans="1:35" ht="12.75">
      <c r="A2062" s="6"/>
      <c r="B2062" s="6"/>
      <c r="C2062" s="6"/>
      <c r="D2062" s="10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 t="str">
        <f ca="1">IFERROR(__xludf.DUMMYFUNCTION("""COMPUTED_VALUE"""),"#N/A")</f>
        <v>#N/A</v>
      </c>
    </row>
    <row r="2063" spans="1:35" ht="12.75">
      <c r="A2063" s="6"/>
      <c r="B2063" s="6"/>
      <c r="C2063" s="6"/>
      <c r="D2063" s="10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 t="str">
        <f ca="1">IFERROR(__xludf.DUMMYFUNCTION("""COMPUTED_VALUE"""),"#N/A")</f>
        <v>#N/A</v>
      </c>
    </row>
    <row r="2064" spans="1:35" ht="12.75">
      <c r="A2064" s="6"/>
      <c r="B2064" s="6"/>
      <c r="C2064" s="6"/>
      <c r="D2064" s="10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 t="str">
        <f ca="1">IFERROR(__xludf.DUMMYFUNCTION("""COMPUTED_VALUE"""),"#N/A")</f>
        <v>#N/A</v>
      </c>
    </row>
    <row r="2065" spans="1:35" ht="12.75">
      <c r="A2065" s="6"/>
      <c r="B2065" s="6"/>
      <c r="C2065" s="6"/>
      <c r="D2065" s="10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 t="str">
        <f ca="1">IFERROR(__xludf.DUMMYFUNCTION("""COMPUTED_VALUE"""),"#N/A")</f>
        <v>#N/A</v>
      </c>
    </row>
    <row r="2066" spans="1:35" ht="12.75">
      <c r="A2066" s="6"/>
      <c r="B2066" s="6"/>
      <c r="C2066" s="6"/>
      <c r="D2066" s="10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 t="str">
        <f ca="1">IFERROR(__xludf.DUMMYFUNCTION("""COMPUTED_VALUE"""),"#N/A")</f>
        <v>#N/A</v>
      </c>
    </row>
    <row r="2067" spans="1:35" ht="12.75">
      <c r="A2067" s="6"/>
      <c r="B2067" s="6"/>
      <c r="C2067" s="6"/>
      <c r="D2067" s="10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 t="str">
        <f ca="1">IFERROR(__xludf.DUMMYFUNCTION("""COMPUTED_VALUE"""),"#N/A")</f>
        <v>#N/A</v>
      </c>
    </row>
    <row r="2068" spans="1:35" ht="12.75">
      <c r="A2068" s="6"/>
      <c r="B2068" s="6"/>
      <c r="C2068" s="6"/>
      <c r="D2068" s="10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 t="str">
        <f ca="1">IFERROR(__xludf.DUMMYFUNCTION("""COMPUTED_VALUE"""),"#N/A")</f>
        <v>#N/A</v>
      </c>
    </row>
    <row r="2069" spans="1:35" ht="12.75">
      <c r="A2069" s="6"/>
      <c r="B2069" s="6"/>
      <c r="C2069" s="6"/>
      <c r="D2069" s="10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 t="str">
        <f ca="1">IFERROR(__xludf.DUMMYFUNCTION("""COMPUTED_VALUE"""),"#N/A")</f>
        <v>#N/A</v>
      </c>
    </row>
    <row r="2070" spans="1:35" ht="12.75">
      <c r="A2070" s="6"/>
      <c r="B2070" s="6"/>
      <c r="C2070" s="6"/>
      <c r="D2070" s="10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 t="str">
        <f ca="1">IFERROR(__xludf.DUMMYFUNCTION("""COMPUTED_VALUE"""),"#N/A")</f>
        <v>#N/A</v>
      </c>
    </row>
    <row r="2071" spans="1:35" ht="12.75">
      <c r="A2071" s="6"/>
      <c r="B2071" s="6"/>
      <c r="C2071" s="6"/>
      <c r="D2071" s="10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 t="str">
        <f ca="1">IFERROR(__xludf.DUMMYFUNCTION("""COMPUTED_VALUE"""),"#N/A")</f>
        <v>#N/A</v>
      </c>
    </row>
    <row r="2072" spans="1:35" ht="12.75">
      <c r="A2072" s="6"/>
      <c r="B2072" s="6"/>
      <c r="C2072" s="6"/>
      <c r="D2072" s="10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 t="str">
        <f ca="1">IFERROR(__xludf.DUMMYFUNCTION("""COMPUTED_VALUE"""),"#N/A")</f>
        <v>#N/A</v>
      </c>
    </row>
    <row r="2073" spans="1:35" ht="12.75">
      <c r="A2073" s="6"/>
      <c r="B2073" s="6"/>
      <c r="C2073" s="6"/>
      <c r="D2073" s="10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 t="str">
        <f ca="1">IFERROR(__xludf.DUMMYFUNCTION("""COMPUTED_VALUE"""),"#N/A")</f>
        <v>#N/A</v>
      </c>
    </row>
    <row r="2074" spans="1:35" ht="12.75">
      <c r="A2074" s="6"/>
      <c r="B2074" s="6"/>
      <c r="C2074" s="6"/>
      <c r="D2074" s="10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 t="str">
        <f ca="1">IFERROR(__xludf.DUMMYFUNCTION("""COMPUTED_VALUE"""),"#N/A")</f>
        <v>#N/A</v>
      </c>
    </row>
    <row r="2075" spans="1:35" ht="12.75">
      <c r="A2075" s="6"/>
      <c r="B2075" s="6"/>
      <c r="C2075" s="6"/>
      <c r="D2075" s="10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 t="str">
        <f ca="1">IFERROR(__xludf.DUMMYFUNCTION("""COMPUTED_VALUE"""),"#N/A")</f>
        <v>#N/A</v>
      </c>
    </row>
    <row r="2076" spans="1:35" ht="12.75">
      <c r="A2076" s="6"/>
      <c r="B2076" s="6"/>
      <c r="C2076" s="6"/>
      <c r="D2076" s="10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 t="str">
        <f ca="1">IFERROR(__xludf.DUMMYFUNCTION("""COMPUTED_VALUE"""),"#N/A")</f>
        <v>#N/A</v>
      </c>
    </row>
    <row r="2077" spans="1:35" ht="12.75">
      <c r="A2077" s="6"/>
      <c r="B2077" s="6"/>
      <c r="C2077" s="6"/>
      <c r="D2077" s="10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 t="str">
        <f ca="1">IFERROR(__xludf.DUMMYFUNCTION("""COMPUTED_VALUE"""),"#N/A")</f>
        <v>#N/A</v>
      </c>
    </row>
    <row r="2078" spans="1:35" ht="12.75">
      <c r="A2078" s="6"/>
      <c r="B2078" s="6"/>
      <c r="C2078" s="6"/>
      <c r="D2078" s="10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 t="str">
        <f ca="1">IFERROR(__xludf.DUMMYFUNCTION("""COMPUTED_VALUE"""),"#N/A")</f>
        <v>#N/A</v>
      </c>
    </row>
    <row r="2079" spans="1:35" ht="12.75">
      <c r="A2079" s="6"/>
      <c r="B2079" s="6"/>
      <c r="C2079" s="6"/>
      <c r="D2079" s="10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 t="str">
        <f ca="1">IFERROR(__xludf.DUMMYFUNCTION("""COMPUTED_VALUE"""),"#N/A")</f>
        <v>#N/A</v>
      </c>
    </row>
    <row r="2080" spans="1:35" ht="12.75">
      <c r="A2080" s="6"/>
      <c r="B2080" s="6"/>
      <c r="C2080" s="6"/>
      <c r="D2080" s="10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 t="str">
        <f ca="1">IFERROR(__xludf.DUMMYFUNCTION("""COMPUTED_VALUE"""),"#N/A")</f>
        <v>#N/A</v>
      </c>
    </row>
    <row r="2081" spans="1:35" ht="12.75">
      <c r="A2081" s="6"/>
      <c r="B2081" s="6"/>
      <c r="C2081" s="6"/>
      <c r="D2081" s="10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 t="str">
        <f ca="1">IFERROR(__xludf.DUMMYFUNCTION("""COMPUTED_VALUE"""),"#N/A")</f>
        <v>#N/A</v>
      </c>
    </row>
    <row r="2082" spans="1:35" ht="12.75">
      <c r="A2082" s="6"/>
      <c r="B2082" s="6"/>
      <c r="C2082" s="6"/>
      <c r="D2082" s="10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 t="str">
        <f ca="1">IFERROR(__xludf.DUMMYFUNCTION("""COMPUTED_VALUE"""),"#N/A")</f>
        <v>#N/A</v>
      </c>
    </row>
    <row r="2083" spans="1:35" ht="12.75">
      <c r="A2083" s="6"/>
      <c r="B2083" s="6"/>
      <c r="C2083" s="6"/>
      <c r="D2083" s="10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 t="str">
        <f ca="1">IFERROR(__xludf.DUMMYFUNCTION("""COMPUTED_VALUE"""),"#N/A")</f>
        <v>#N/A</v>
      </c>
    </row>
    <row r="2084" spans="1:35" ht="12.75">
      <c r="A2084" s="6"/>
      <c r="B2084" s="6"/>
      <c r="C2084" s="6"/>
      <c r="D2084" s="10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 t="str">
        <f ca="1">IFERROR(__xludf.DUMMYFUNCTION("""COMPUTED_VALUE"""),"#N/A")</f>
        <v>#N/A</v>
      </c>
    </row>
    <row r="2085" spans="1:35" ht="12.75">
      <c r="A2085" s="6"/>
      <c r="B2085" s="6"/>
      <c r="C2085" s="6"/>
      <c r="D2085" s="10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 t="str">
        <f ca="1">IFERROR(__xludf.DUMMYFUNCTION("""COMPUTED_VALUE"""),"#N/A")</f>
        <v>#N/A</v>
      </c>
    </row>
    <row r="2086" spans="1:35" ht="12.75">
      <c r="A2086" s="6"/>
      <c r="B2086" s="6"/>
      <c r="C2086" s="6"/>
      <c r="D2086" s="10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 t="str">
        <f ca="1">IFERROR(__xludf.DUMMYFUNCTION("""COMPUTED_VALUE"""),"#N/A")</f>
        <v>#N/A</v>
      </c>
    </row>
    <row r="2087" spans="1:35" ht="12.75">
      <c r="A2087" s="6"/>
      <c r="B2087" s="6"/>
      <c r="C2087" s="6"/>
      <c r="D2087" s="10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 t="str">
        <f ca="1">IFERROR(__xludf.DUMMYFUNCTION("""COMPUTED_VALUE"""),"#N/A")</f>
        <v>#N/A</v>
      </c>
    </row>
    <row r="2088" spans="1:35" ht="12.75">
      <c r="A2088" s="6"/>
      <c r="B2088" s="6"/>
      <c r="C2088" s="6"/>
      <c r="D2088" s="10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 t="str">
        <f ca="1">IFERROR(__xludf.DUMMYFUNCTION("""COMPUTED_VALUE"""),"#N/A")</f>
        <v>#N/A</v>
      </c>
    </row>
    <row r="2089" spans="1:35" ht="12.75">
      <c r="A2089" s="6"/>
      <c r="B2089" s="6"/>
      <c r="C2089" s="6"/>
      <c r="D2089" s="10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 t="str">
        <f ca="1">IFERROR(__xludf.DUMMYFUNCTION("""COMPUTED_VALUE"""),"#N/A")</f>
        <v>#N/A</v>
      </c>
    </row>
    <row r="2090" spans="1:35" ht="12.75">
      <c r="A2090" s="6"/>
      <c r="B2090" s="6"/>
      <c r="C2090" s="6"/>
      <c r="D2090" s="10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 t="str">
        <f ca="1">IFERROR(__xludf.DUMMYFUNCTION("""COMPUTED_VALUE"""),"#N/A")</f>
        <v>#N/A</v>
      </c>
    </row>
    <row r="2091" spans="1:35" ht="12.75">
      <c r="A2091" s="6"/>
      <c r="B2091" s="6"/>
      <c r="C2091" s="6"/>
      <c r="D2091" s="10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 t="str">
        <f ca="1">IFERROR(__xludf.DUMMYFUNCTION("""COMPUTED_VALUE"""),"#N/A")</f>
        <v>#N/A</v>
      </c>
    </row>
    <row r="2092" spans="1:35" ht="12.75">
      <c r="A2092" s="6"/>
      <c r="B2092" s="6"/>
      <c r="C2092" s="6"/>
      <c r="D2092" s="10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 t="str">
        <f ca="1">IFERROR(__xludf.DUMMYFUNCTION("""COMPUTED_VALUE"""),"#N/A")</f>
        <v>#N/A</v>
      </c>
    </row>
    <row r="2093" spans="1:35" ht="12.75">
      <c r="A2093" s="6"/>
      <c r="B2093" s="6"/>
      <c r="C2093" s="6"/>
      <c r="D2093" s="10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 t="str">
        <f ca="1">IFERROR(__xludf.DUMMYFUNCTION("""COMPUTED_VALUE"""),"#N/A")</f>
        <v>#N/A</v>
      </c>
    </row>
    <row r="2094" spans="1:35" ht="12.75">
      <c r="A2094" s="6"/>
      <c r="B2094" s="6"/>
      <c r="C2094" s="6"/>
      <c r="D2094" s="10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 t="str">
        <f ca="1">IFERROR(__xludf.DUMMYFUNCTION("""COMPUTED_VALUE"""),"#N/A")</f>
        <v>#N/A</v>
      </c>
    </row>
    <row r="2095" spans="1:35" ht="12.75">
      <c r="A2095" s="6"/>
      <c r="B2095" s="6"/>
      <c r="C2095" s="6"/>
      <c r="D2095" s="10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 t="str">
        <f ca="1">IFERROR(__xludf.DUMMYFUNCTION("""COMPUTED_VALUE"""),"#N/A")</f>
        <v>#N/A</v>
      </c>
    </row>
    <row r="2096" spans="1:35" ht="12.75">
      <c r="A2096" s="6"/>
      <c r="B2096" s="6"/>
      <c r="C2096" s="6"/>
      <c r="D2096" s="10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 t="str">
        <f ca="1">IFERROR(__xludf.DUMMYFUNCTION("""COMPUTED_VALUE"""),"#N/A")</f>
        <v>#N/A</v>
      </c>
    </row>
    <row r="2097" spans="1:35" ht="12.75">
      <c r="A2097" s="6"/>
      <c r="B2097" s="6"/>
      <c r="C2097" s="6"/>
      <c r="D2097" s="10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 t="str">
        <f ca="1">IFERROR(__xludf.DUMMYFUNCTION("""COMPUTED_VALUE"""),"#N/A")</f>
        <v>#N/A</v>
      </c>
    </row>
    <row r="2098" spans="1:35" ht="12.75">
      <c r="A2098" s="6"/>
      <c r="B2098" s="6"/>
      <c r="C2098" s="6"/>
      <c r="D2098" s="10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 t="str">
        <f ca="1">IFERROR(__xludf.DUMMYFUNCTION("""COMPUTED_VALUE"""),"#N/A")</f>
        <v>#N/A</v>
      </c>
    </row>
    <row r="2099" spans="1:35" ht="12.75">
      <c r="A2099" s="6"/>
      <c r="B2099" s="6"/>
      <c r="C2099" s="6"/>
      <c r="D2099" s="10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 t="str">
        <f ca="1">IFERROR(__xludf.DUMMYFUNCTION("""COMPUTED_VALUE"""),"#N/A")</f>
        <v>#N/A</v>
      </c>
    </row>
    <row r="2100" spans="1:35" ht="12.75">
      <c r="A2100" s="6"/>
      <c r="B2100" s="6"/>
      <c r="C2100" s="6"/>
      <c r="D2100" s="10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 t="str">
        <f ca="1">IFERROR(__xludf.DUMMYFUNCTION("""COMPUTED_VALUE"""),"#N/A")</f>
        <v>#N/A</v>
      </c>
    </row>
    <row r="2101" spans="1:35" ht="12.75">
      <c r="A2101" s="6"/>
      <c r="B2101" s="6"/>
      <c r="C2101" s="6"/>
      <c r="D2101" s="10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 t="str">
        <f ca="1">IFERROR(__xludf.DUMMYFUNCTION("""COMPUTED_VALUE"""),"#N/A")</f>
        <v>#N/A</v>
      </c>
    </row>
    <row r="2102" spans="1:35" ht="12.75">
      <c r="A2102" s="6"/>
      <c r="B2102" s="6"/>
      <c r="C2102" s="6"/>
      <c r="D2102" s="10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 t="str">
        <f ca="1">IFERROR(__xludf.DUMMYFUNCTION("""COMPUTED_VALUE"""),"#N/A")</f>
        <v>#N/A</v>
      </c>
    </row>
    <row r="2103" spans="1:35" ht="12.75">
      <c r="A2103" s="6"/>
      <c r="B2103" s="6"/>
      <c r="C2103" s="6"/>
      <c r="D2103" s="10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 t="str">
        <f ca="1">IFERROR(__xludf.DUMMYFUNCTION("""COMPUTED_VALUE"""),"#N/A")</f>
        <v>#N/A</v>
      </c>
    </row>
    <row r="2104" spans="1:35" ht="12.75">
      <c r="A2104" s="6"/>
      <c r="B2104" s="6"/>
      <c r="C2104" s="6"/>
      <c r="D2104" s="10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 t="str">
        <f ca="1">IFERROR(__xludf.DUMMYFUNCTION("""COMPUTED_VALUE"""),"#N/A")</f>
        <v>#N/A</v>
      </c>
    </row>
    <row r="2105" spans="1:35" ht="12.75">
      <c r="A2105" s="6"/>
      <c r="B2105" s="6"/>
      <c r="C2105" s="6"/>
      <c r="D2105" s="10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 t="str">
        <f ca="1">IFERROR(__xludf.DUMMYFUNCTION("""COMPUTED_VALUE"""),"#N/A")</f>
        <v>#N/A</v>
      </c>
    </row>
    <row r="2106" spans="1:35" ht="12.75">
      <c r="A2106" s="6"/>
      <c r="B2106" s="6"/>
      <c r="C2106" s="6"/>
      <c r="D2106" s="10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 t="str">
        <f ca="1">IFERROR(__xludf.DUMMYFUNCTION("""COMPUTED_VALUE"""),"#N/A")</f>
        <v>#N/A</v>
      </c>
    </row>
    <row r="2107" spans="1:35" ht="12.75">
      <c r="A2107" s="6"/>
      <c r="B2107" s="6"/>
      <c r="C2107" s="6"/>
      <c r="D2107" s="10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 t="str">
        <f ca="1">IFERROR(__xludf.DUMMYFUNCTION("""COMPUTED_VALUE"""),"#N/A")</f>
        <v>#N/A</v>
      </c>
    </row>
    <row r="2108" spans="1:35" ht="12.75">
      <c r="A2108" s="6"/>
      <c r="B2108" s="6"/>
      <c r="C2108" s="6"/>
      <c r="D2108" s="10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 t="str">
        <f ca="1">IFERROR(__xludf.DUMMYFUNCTION("""COMPUTED_VALUE"""),"#N/A")</f>
        <v>#N/A</v>
      </c>
    </row>
    <row r="2109" spans="1:35" ht="12.75">
      <c r="A2109" s="6"/>
      <c r="B2109" s="6"/>
      <c r="C2109" s="6"/>
      <c r="D2109" s="10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 t="str">
        <f ca="1">IFERROR(__xludf.DUMMYFUNCTION("""COMPUTED_VALUE"""),"#N/A")</f>
        <v>#N/A</v>
      </c>
    </row>
    <row r="2110" spans="1:35" ht="12.75">
      <c r="A2110" s="6"/>
      <c r="B2110" s="6"/>
      <c r="C2110" s="6"/>
      <c r="D2110" s="10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 t="str">
        <f ca="1">IFERROR(__xludf.DUMMYFUNCTION("""COMPUTED_VALUE"""),"#N/A")</f>
        <v>#N/A</v>
      </c>
    </row>
    <row r="2111" spans="1:35" ht="12.75">
      <c r="A2111" s="6"/>
      <c r="B2111" s="6"/>
      <c r="C2111" s="6"/>
      <c r="D2111" s="10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 t="str">
        <f ca="1">IFERROR(__xludf.DUMMYFUNCTION("""COMPUTED_VALUE"""),"#N/A")</f>
        <v>#N/A</v>
      </c>
    </row>
    <row r="2112" spans="1:35" ht="12.75">
      <c r="A2112" s="6"/>
      <c r="B2112" s="6"/>
      <c r="C2112" s="6"/>
      <c r="D2112" s="10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 t="str">
        <f ca="1">IFERROR(__xludf.DUMMYFUNCTION("""COMPUTED_VALUE"""),"#N/A")</f>
        <v>#N/A</v>
      </c>
    </row>
    <row r="2113" spans="1:35" ht="12.75">
      <c r="A2113" s="6"/>
      <c r="B2113" s="6"/>
      <c r="C2113" s="6"/>
      <c r="D2113" s="10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 t="str">
        <f ca="1">IFERROR(__xludf.DUMMYFUNCTION("""COMPUTED_VALUE"""),"#N/A")</f>
        <v>#N/A</v>
      </c>
    </row>
    <row r="2114" spans="1:35" ht="12.75">
      <c r="A2114" s="6"/>
      <c r="B2114" s="6"/>
      <c r="C2114" s="6"/>
      <c r="D2114" s="10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 t="str">
        <f ca="1">IFERROR(__xludf.DUMMYFUNCTION("""COMPUTED_VALUE"""),"#N/A")</f>
        <v>#N/A</v>
      </c>
    </row>
    <row r="2115" spans="1:35" ht="12.75">
      <c r="A2115" s="6"/>
      <c r="B2115" s="6"/>
      <c r="C2115" s="6"/>
      <c r="D2115" s="10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 t="str">
        <f ca="1">IFERROR(__xludf.DUMMYFUNCTION("""COMPUTED_VALUE"""),"#N/A")</f>
        <v>#N/A</v>
      </c>
    </row>
    <row r="2116" spans="1:35" ht="12.75">
      <c r="A2116" s="6"/>
      <c r="B2116" s="6"/>
      <c r="C2116" s="6"/>
      <c r="D2116" s="10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 t="str">
        <f ca="1">IFERROR(__xludf.DUMMYFUNCTION("""COMPUTED_VALUE"""),"#N/A")</f>
        <v>#N/A</v>
      </c>
    </row>
    <row r="2117" spans="1:35" ht="12.75">
      <c r="A2117" s="6"/>
      <c r="B2117" s="6"/>
      <c r="C2117" s="6"/>
      <c r="D2117" s="10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 t="str">
        <f ca="1">IFERROR(__xludf.DUMMYFUNCTION("""COMPUTED_VALUE"""),"#N/A")</f>
        <v>#N/A</v>
      </c>
    </row>
    <row r="2118" spans="1:35" ht="12.75">
      <c r="A2118" s="6"/>
      <c r="B2118" s="6"/>
      <c r="C2118" s="6"/>
      <c r="D2118" s="10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 t="str">
        <f ca="1">IFERROR(__xludf.DUMMYFUNCTION("""COMPUTED_VALUE"""),"#N/A")</f>
        <v>#N/A</v>
      </c>
    </row>
    <row r="2119" spans="1:35" ht="12.75">
      <c r="A2119" s="6"/>
      <c r="B2119" s="6"/>
      <c r="C2119" s="6"/>
      <c r="D2119" s="10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 t="str">
        <f ca="1">IFERROR(__xludf.DUMMYFUNCTION("""COMPUTED_VALUE"""),"#N/A")</f>
        <v>#N/A</v>
      </c>
    </row>
    <row r="2120" spans="1:35" ht="12.75">
      <c r="A2120" s="6"/>
      <c r="B2120" s="6"/>
      <c r="C2120" s="6"/>
      <c r="D2120" s="10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 t="str">
        <f ca="1">IFERROR(__xludf.DUMMYFUNCTION("""COMPUTED_VALUE"""),"#N/A")</f>
        <v>#N/A</v>
      </c>
    </row>
    <row r="2121" spans="1:35" ht="12.75">
      <c r="A2121" s="6"/>
      <c r="B2121" s="6"/>
      <c r="C2121" s="6"/>
      <c r="D2121" s="10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 t="str">
        <f ca="1">IFERROR(__xludf.DUMMYFUNCTION("""COMPUTED_VALUE"""),"#N/A")</f>
        <v>#N/A</v>
      </c>
    </row>
    <row r="2122" spans="1:35" ht="12.75">
      <c r="A2122" s="6"/>
      <c r="B2122" s="6"/>
      <c r="C2122" s="6"/>
      <c r="D2122" s="10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 t="str">
        <f ca="1">IFERROR(__xludf.DUMMYFUNCTION("""COMPUTED_VALUE"""),"#N/A")</f>
        <v>#N/A</v>
      </c>
    </row>
    <row r="2123" spans="1:35" ht="12.75">
      <c r="A2123" s="6"/>
      <c r="B2123" s="6"/>
      <c r="C2123" s="6"/>
      <c r="D2123" s="10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 t="str">
        <f ca="1">IFERROR(__xludf.DUMMYFUNCTION("""COMPUTED_VALUE"""),"#N/A")</f>
        <v>#N/A</v>
      </c>
    </row>
    <row r="2124" spans="1:35" ht="12.75">
      <c r="A2124" s="6"/>
      <c r="B2124" s="6"/>
      <c r="C2124" s="6"/>
      <c r="D2124" s="10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 t="str">
        <f ca="1">IFERROR(__xludf.DUMMYFUNCTION("""COMPUTED_VALUE"""),"#N/A")</f>
        <v>#N/A</v>
      </c>
    </row>
    <row r="2125" spans="1:35" ht="12.75">
      <c r="A2125" s="6"/>
      <c r="B2125" s="6"/>
      <c r="C2125" s="6"/>
      <c r="D2125" s="10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 t="str">
        <f ca="1">IFERROR(__xludf.DUMMYFUNCTION("""COMPUTED_VALUE"""),"#N/A")</f>
        <v>#N/A</v>
      </c>
    </row>
    <row r="2126" spans="1:35" ht="12.75">
      <c r="A2126" s="6"/>
      <c r="B2126" s="6"/>
      <c r="C2126" s="6"/>
      <c r="D2126" s="10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 t="str">
        <f ca="1">IFERROR(__xludf.DUMMYFUNCTION("""COMPUTED_VALUE"""),"#N/A")</f>
        <v>#N/A</v>
      </c>
    </row>
    <row r="2127" spans="1:35" ht="12.75">
      <c r="A2127" s="6"/>
      <c r="B2127" s="6"/>
      <c r="C2127" s="6"/>
      <c r="D2127" s="10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 t="str">
        <f ca="1">IFERROR(__xludf.DUMMYFUNCTION("""COMPUTED_VALUE"""),"#N/A")</f>
        <v>#N/A</v>
      </c>
    </row>
    <row r="2128" spans="1:35" ht="12.75">
      <c r="A2128" s="6"/>
      <c r="B2128" s="6"/>
      <c r="C2128" s="6"/>
      <c r="D2128" s="10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 t="str">
        <f ca="1">IFERROR(__xludf.DUMMYFUNCTION("""COMPUTED_VALUE"""),"#N/A")</f>
        <v>#N/A</v>
      </c>
    </row>
    <row r="2129" spans="1:35" ht="12.75">
      <c r="A2129" s="6"/>
      <c r="B2129" s="6"/>
      <c r="C2129" s="6"/>
      <c r="D2129" s="10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 t="str">
        <f ca="1">IFERROR(__xludf.DUMMYFUNCTION("""COMPUTED_VALUE"""),"#N/A")</f>
        <v>#N/A</v>
      </c>
    </row>
    <row r="2130" spans="1:35" ht="12.75">
      <c r="A2130" s="6"/>
      <c r="B2130" s="6"/>
      <c r="C2130" s="6"/>
      <c r="D2130" s="10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 t="str">
        <f ca="1">IFERROR(__xludf.DUMMYFUNCTION("""COMPUTED_VALUE"""),"#N/A")</f>
        <v>#N/A</v>
      </c>
    </row>
    <row r="2131" spans="1:35" ht="12.75">
      <c r="A2131" s="6"/>
      <c r="B2131" s="6"/>
      <c r="C2131" s="6"/>
      <c r="D2131" s="10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 t="str">
        <f ca="1">IFERROR(__xludf.DUMMYFUNCTION("""COMPUTED_VALUE"""),"#N/A")</f>
        <v>#N/A</v>
      </c>
    </row>
    <row r="2132" spans="1:35" ht="12.75">
      <c r="A2132" s="6"/>
      <c r="B2132" s="6"/>
      <c r="C2132" s="6"/>
      <c r="D2132" s="10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 t="str">
        <f ca="1">IFERROR(__xludf.DUMMYFUNCTION("""COMPUTED_VALUE"""),"#N/A")</f>
        <v>#N/A</v>
      </c>
    </row>
    <row r="2133" spans="1:35" ht="12.75">
      <c r="A2133" s="6"/>
      <c r="B2133" s="6"/>
      <c r="C2133" s="6"/>
      <c r="D2133" s="10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 t="str">
        <f ca="1">IFERROR(__xludf.DUMMYFUNCTION("""COMPUTED_VALUE"""),"#N/A")</f>
        <v>#N/A</v>
      </c>
    </row>
    <row r="2134" spans="1:35" ht="12.75">
      <c r="A2134" s="6"/>
      <c r="B2134" s="6"/>
      <c r="C2134" s="6"/>
      <c r="D2134" s="10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 t="str">
        <f ca="1">IFERROR(__xludf.DUMMYFUNCTION("""COMPUTED_VALUE"""),"#N/A")</f>
        <v>#N/A</v>
      </c>
    </row>
    <row r="2135" spans="1:35" ht="12.75">
      <c r="A2135" s="6"/>
      <c r="B2135" s="6"/>
      <c r="C2135" s="6"/>
      <c r="D2135" s="10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 t="str">
        <f ca="1">IFERROR(__xludf.DUMMYFUNCTION("""COMPUTED_VALUE"""),"#N/A")</f>
        <v>#N/A</v>
      </c>
    </row>
    <row r="2136" spans="1:35" ht="12.75">
      <c r="A2136" s="6"/>
      <c r="B2136" s="6"/>
      <c r="C2136" s="6"/>
      <c r="D2136" s="10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 t="str">
        <f ca="1">IFERROR(__xludf.DUMMYFUNCTION("""COMPUTED_VALUE"""),"#N/A")</f>
        <v>#N/A</v>
      </c>
    </row>
    <row r="2137" spans="1:35" ht="12.75">
      <c r="A2137" s="6"/>
      <c r="B2137" s="6"/>
      <c r="C2137" s="6"/>
      <c r="D2137" s="10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 t="str">
        <f ca="1">IFERROR(__xludf.DUMMYFUNCTION("""COMPUTED_VALUE"""),"#N/A")</f>
        <v>#N/A</v>
      </c>
    </row>
    <row r="2138" spans="1:35" ht="12.75">
      <c r="A2138" s="6"/>
      <c r="B2138" s="6"/>
      <c r="C2138" s="6"/>
      <c r="D2138" s="10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 t="str">
        <f ca="1">IFERROR(__xludf.DUMMYFUNCTION("""COMPUTED_VALUE"""),"#N/A")</f>
        <v>#N/A</v>
      </c>
    </row>
    <row r="2139" spans="1:35" ht="12.75">
      <c r="A2139" s="6"/>
      <c r="B2139" s="6"/>
      <c r="C2139" s="6"/>
      <c r="D2139" s="10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 t="str">
        <f ca="1">IFERROR(__xludf.DUMMYFUNCTION("""COMPUTED_VALUE"""),"#N/A")</f>
        <v>#N/A</v>
      </c>
    </row>
    <row r="2140" spans="1:35" ht="12.75">
      <c r="A2140" s="6"/>
      <c r="B2140" s="6"/>
      <c r="C2140" s="6"/>
      <c r="D2140" s="10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 t="str">
        <f ca="1">IFERROR(__xludf.DUMMYFUNCTION("""COMPUTED_VALUE"""),"#N/A")</f>
        <v>#N/A</v>
      </c>
    </row>
    <row r="2141" spans="1:35" ht="12.75">
      <c r="A2141" s="6"/>
      <c r="B2141" s="6"/>
      <c r="C2141" s="6"/>
      <c r="D2141" s="10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 t="str">
        <f ca="1">IFERROR(__xludf.DUMMYFUNCTION("""COMPUTED_VALUE"""),"#N/A")</f>
        <v>#N/A</v>
      </c>
    </row>
    <row r="2142" spans="1:35" ht="12.75">
      <c r="A2142" s="6"/>
      <c r="B2142" s="6"/>
      <c r="C2142" s="6"/>
      <c r="D2142" s="10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 t="str">
        <f ca="1">IFERROR(__xludf.DUMMYFUNCTION("""COMPUTED_VALUE"""),"#N/A")</f>
        <v>#N/A</v>
      </c>
    </row>
    <row r="2143" spans="1:35" ht="12.75">
      <c r="A2143" s="6"/>
      <c r="B2143" s="6"/>
      <c r="C2143" s="6"/>
      <c r="D2143" s="10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 t="str">
        <f ca="1">IFERROR(__xludf.DUMMYFUNCTION("""COMPUTED_VALUE"""),"#N/A")</f>
        <v>#N/A</v>
      </c>
    </row>
    <row r="2144" spans="1:35" ht="12.75">
      <c r="A2144" s="6"/>
      <c r="B2144" s="6"/>
      <c r="C2144" s="6"/>
      <c r="D2144" s="10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 t="str">
        <f ca="1">IFERROR(__xludf.DUMMYFUNCTION("""COMPUTED_VALUE"""),"#N/A")</f>
        <v>#N/A</v>
      </c>
    </row>
    <row r="2145" spans="1:35" ht="12.75">
      <c r="A2145" s="6"/>
      <c r="B2145" s="6"/>
      <c r="C2145" s="6"/>
      <c r="D2145" s="10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 t="str">
        <f ca="1">IFERROR(__xludf.DUMMYFUNCTION("""COMPUTED_VALUE"""),"#N/A")</f>
        <v>#N/A</v>
      </c>
    </row>
    <row r="2146" spans="1:35" ht="12.75">
      <c r="A2146" s="6"/>
      <c r="B2146" s="6"/>
      <c r="C2146" s="6"/>
      <c r="D2146" s="10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 t="str">
        <f ca="1">IFERROR(__xludf.DUMMYFUNCTION("""COMPUTED_VALUE"""),"#N/A")</f>
        <v>#N/A</v>
      </c>
    </row>
    <row r="2147" spans="1:35" ht="12.75">
      <c r="A2147" s="6"/>
      <c r="B2147" s="6"/>
      <c r="C2147" s="6"/>
      <c r="D2147" s="10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 t="str">
        <f ca="1">IFERROR(__xludf.DUMMYFUNCTION("""COMPUTED_VALUE"""),"#N/A")</f>
        <v>#N/A</v>
      </c>
    </row>
    <row r="2148" spans="1:35" ht="12.75">
      <c r="A2148" s="6"/>
      <c r="B2148" s="6"/>
      <c r="C2148" s="6"/>
      <c r="D2148" s="10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 t="str">
        <f ca="1">IFERROR(__xludf.DUMMYFUNCTION("""COMPUTED_VALUE"""),"#N/A")</f>
        <v>#N/A</v>
      </c>
    </row>
    <row r="2149" spans="1:35" ht="12.75">
      <c r="A2149" s="6"/>
      <c r="B2149" s="6"/>
      <c r="C2149" s="6"/>
      <c r="D2149" s="10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 t="str">
        <f ca="1">IFERROR(__xludf.DUMMYFUNCTION("""COMPUTED_VALUE"""),"#N/A")</f>
        <v>#N/A</v>
      </c>
    </row>
    <row r="2150" spans="1:35" ht="12.75">
      <c r="A2150" s="6"/>
      <c r="B2150" s="6"/>
      <c r="C2150" s="6"/>
      <c r="D2150" s="10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 t="str">
        <f ca="1">IFERROR(__xludf.DUMMYFUNCTION("""COMPUTED_VALUE"""),"#N/A")</f>
        <v>#N/A</v>
      </c>
    </row>
    <row r="2151" spans="1:35" ht="12.75">
      <c r="A2151" s="6"/>
      <c r="B2151" s="6"/>
      <c r="C2151" s="6"/>
      <c r="D2151" s="10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 t="str">
        <f ca="1">IFERROR(__xludf.DUMMYFUNCTION("""COMPUTED_VALUE"""),"#N/A")</f>
        <v>#N/A</v>
      </c>
    </row>
    <row r="2152" spans="1:35" ht="12.75">
      <c r="A2152" s="6"/>
      <c r="B2152" s="6"/>
      <c r="C2152" s="6"/>
      <c r="D2152" s="10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 t="str">
        <f ca="1">IFERROR(__xludf.DUMMYFUNCTION("""COMPUTED_VALUE"""),"#N/A")</f>
        <v>#N/A</v>
      </c>
    </row>
    <row r="2153" spans="1:35" ht="12.75">
      <c r="A2153" s="6"/>
      <c r="B2153" s="6"/>
      <c r="C2153" s="6"/>
      <c r="D2153" s="10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 t="str">
        <f ca="1">IFERROR(__xludf.DUMMYFUNCTION("""COMPUTED_VALUE"""),"#N/A")</f>
        <v>#N/A</v>
      </c>
    </row>
    <row r="2154" spans="1:35" ht="12.75">
      <c r="A2154" s="6"/>
      <c r="B2154" s="6"/>
      <c r="C2154" s="6"/>
      <c r="D2154" s="10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 t="str">
        <f ca="1">IFERROR(__xludf.DUMMYFUNCTION("""COMPUTED_VALUE"""),"#N/A")</f>
        <v>#N/A</v>
      </c>
    </row>
    <row r="2155" spans="1:35" ht="12.75">
      <c r="A2155" s="6"/>
      <c r="B2155" s="6"/>
      <c r="C2155" s="6"/>
      <c r="D2155" s="10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 t="str">
        <f ca="1">IFERROR(__xludf.DUMMYFUNCTION("""COMPUTED_VALUE"""),"#N/A")</f>
        <v>#N/A</v>
      </c>
    </row>
    <row r="2156" spans="1:35" ht="12.75">
      <c r="A2156" s="6"/>
      <c r="B2156" s="6"/>
      <c r="C2156" s="6"/>
      <c r="D2156" s="10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 t="str">
        <f ca="1">IFERROR(__xludf.DUMMYFUNCTION("""COMPUTED_VALUE"""),"#N/A")</f>
        <v>#N/A</v>
      </c>
    </row>
    <row r="2157" spans="1:35" ht="12.75">
      <c r="A2157" s="6"/>
      <c r="B2157" s="6"/>
      <c r="C2157" s="6"/>
      <c r="D2157" s="10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 t="str">
        <f ca="1">IFERROR(__xludf.DUMMYFUNCTION("""COMPUTED_VALUE"""),"#N/A")</f>
        <v>#N/A</v>
      </c>
    </row>
    <row r="2158" spans="1:35" ht="12.75">
      <c r="A2158" s="6"/>
      <c r="B2158" s="6"/>
      <c r="C2158" s="6"/>
      <c r="D2158" s="10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 t="str">
        <f ca="1">IFERROR(__xludf.DUMMYFUNCTION("""COMPUTED_VALUE"""),"#N/A")</f>
        <v>#N/A</v>
      </c>
    </row>
    <row r="2159" spans="1:35" ht="12.75">
      <c r="A2159" s="6"/>
      <c r="B2159" s="6"/>
      <c r="C2159" s="6"/>
      <c r="D2159" s="10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 t="str">
        <f ca="1">IFERROR(__xludf.DUMMYFUNCTION("""COMPUTED_VALUE"""),"#N/A")</f>
        <v>#N/A</v>
      </c>
    </row>
    <row r="2160" spans="1:35" ht="12.75">
      <c r="A2160" s="6"/>
      <c r="B2160" s="6"/>
      <c r="C2160" s="6"/>
      <c r="D2160" s="10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 t="str">
        <f ca="1">IFERROR(__xludf.DUMMYFUNCTION("""COMPUTED_VALUE"""),"#N/A")</f>
        <v>#N/A</v>
      </c>
    </row>
    <row r="2161" spans="1:35" ht="12.75">
      <c r="A2161" s="6"/>
      <c r="B2161" s="6"/>
      <c r="C2161" s="6"/>
      <c r="D2161" s="10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 t="str">
        <f ca="1">IFERROR(__xludf.DUMMYFUNCTION("""COMPUTED_VALUE"""),"#N/A")</f>
        <v>#N/A</v>
      </c>
    </row>
    <row r="2162" spans="1:35" ht="12.75">
      <c r="A2162" s="6"/>
      <c r="B2162" s="6"/>
      <c r="C2162" s="6"/>
      <c r="D2162" s="10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 t="str">
        <f ca="1">IFERROR(__xludf.DUMMYFUNCTION("""COMPUTED_VALUE"""),"#N/A")</f>
        <v>#N/A</v>
      </c>
    </row>
    <row r="2163" spans="1:35" ht="12.75">
      <c r="A2163" s="6"/>
      <c r="B2163" s="6"/>
      <c r="C2163" s="6"/>
      <c r="D2163" s="10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 t="str">
        <f ca="1">IFERROR(__xludf.DUMMYFUNCTION("""COMPUTED_VALUE"""),"#N/A")</f>
        <v>#N/A</v>
      </c>
    </row>
    <row r="2164" spans="1:35" ht="12.75">
      <c r="A2164" s="6"/>
      <c r="B2164" s="6"/>
      <c r="C2164" s="6"/>
      <c r="D2164" s="10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 t="str">
        <f ca="1">IFERROR(__xludf.DUMMYFUNCTION("""COMPUTED_VALUE"""),"#N/A")</f>
        <v>#N/A</v>
      </c>
    </row>
    <row r="2165" spans="1:35" ht="12.75">
      <c r="A2165" s="6"/>
      <c r="B2165" s="6"/>
      <c r="C2165" s="6"/>
      <c r="D2165" s="10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 t="str">
        <f ca="1">IFERROR(__xludf.DUMMYFUNCTION("""COMPUTED_VALUE"""),"#N/A")</f>
        <v>#N/A</v>
      </c>
    </row>
    <row r="2166" spans="1:35" ht="12.75">
      <c r="A2166" s="6"/>
      <c r="B2166" s="6"/>
      <c r="C2166" s="6"/>
      <c r="D2166" s="10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 t="str">
        <f ca="1">IFERROR(__xludf.DUMMYFUNCTION("""COMPUTED_VALUE"""),"#N/A")</f>
        <v>#N/A</v>
      </c>
    </row>
    <row r="2167" spans="1:35" ht="12.75">
      <c r="A2167" s="6"/>
      <c r="B2167" s="6"/>
      <c r="C2167" s="6"/>
      <c r="D2167" s="10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 t="str">
        <f ca="1">IFERROR(__xludf.DUMMYFUNCTION("""COMPUTED_VALUE"""),"#N/A")</f>
        <v>#N/A</v>
      </c>
    </row>
    <row r="2168" spans="1:35" ht="12.75">
      <c r="A2168" s="6"/>
      <c r="B2168" s="6"/>
      <c r="C2168" s="6"/>
      <c r="D2168" s="10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 t="str">
        <f ca="1">IFERROR(__xludf.DUMMYFUNCTION("""COMPUTED_VALUE"""),"#N/A")</f>
        <v>#N/A</v>
      </c>
    </row>
    <row r="2169" spans="1:35" ht="12.75">
      <c r="A2169" s="6"/>
      <c r="B2169" s="6"/>
      <c r="C2169" s="6"/>
      <c r="D2169" s="10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 t="str">
        <f ca="1">IFERROR(__xludf.DUMMYFUNCTION("""COMPUTED_VALUE"""),"#N/A")</f>
        <v>#N/A</v>
      </c>
    </row>
    <row r="2170" spans="1:35" ht="12.75">
      <c r="A2170" s="6"/>
      <c r="B2170" s="6"/>
      <c r="C2170" s="6"/>
      <c r="D2170" s="10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 t="str">
        <f ca="1">IFERROR(__xludf.DUMMYFUNCTION("""COMPUTED_VALUE"""),"#N/A")</f>
        <v>#N/A</v>
      </c>
    </row>
    <row r="2171" spans="1:35" ht="12.75">
      <c r="A2171" s="6"/>
      <c r="B2171" s="6"/>
      <c r="C2171" s="6"/>
      <c r="D2171" s="10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 t="str">
        <f ca="1">IFERROR(__xludf.DUMMYFUNCTION("""COMPUTED_VALUE"""),"#N/A")</f>
        <v>#N/A</v>
      </c>
    </row>
    <row r="2172" spans="1:35" ht="12.75">
      <c r="A2172" s="6"/>
      <c r="B2172" s="6"/>
      <c r="C2172" s="6"/>
      <c r="D2172" s="10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 t="str">
        <f ca="1">IFERROR(__xludf.DUMMYFUNCTION("""COMPUTED_VALUE"""),"#N/A")</f>
        <v>#N/A</v>
      </c>
    </row>
    <row r="2173" spans="1:35" ht="12.75">
      <c r="A2173" s="6"/>
      <c r="B2173" s="6"/>
      <c r="C2173" s="6"/>
      <c r="D2173" s="10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 t="str">
        <f ca="1">IFERROR(__xludf.DUMMYFUNCTION("""COMPUTED_VALUE"""),"#N/A")</f>
        <v>#N/A</v>
      </c>
    </row>
    <row r="2174" spans="1:35" ht="12.75">
      <c r="A2174" s="6"/>
      <c r="B2174" s="6"/>
      <c r="C2174" s="6"/>
      <c r="D2174" s="10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 t="str">
        <f ca="1">IFERROR(__xludf.DUMMYFUNCTION("""COMPUTED_VALUE"""),"#N/A")</f>
        <v>#N/A</v>
      </c>
    </row>
    <row r="2175" spans="1:35" ht="12.75">
      <c r="A2175" s="6"/>
      <c r="B2175" s="6"/>
      <c r="C2175" s="6"/>
      <c r="D2175" s="10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 t="str">
        <f ca="1">IFERROR(__xludf.DUMMYFUNCTION("""COMPUTED_VALUE"""),"#N/A")</f>
        <v>#N/A</v>
      </c>
    </row>
    <row r="2176" spans="1:35" ht="12.75">
      <c r="A2176" s="6"/>
      <c r="B2176" s="6"/>
      <c r="C2176" s="6"/>
      <c r="D2176" s="10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 t="str">
        <f ca="1">IFERROR(__xludf.DUMMYFUNCTION("""COMPUTED_VALUE"""),"#N/A")</f>
        <v>#N/A</v>
      </c>
    </row>
    <row r="2177" spans="1:35" ht="12.75">
      <c r="A2177" s="6"/>
      <c r="B2177" s="6"/>
      <c r="C2177" s="6"/>
      <c r="D2177" s="10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 t="str">
        <f ca="1">IFERROR(__xludf.DUMMYFUNCTION("""COMPUTED_VALUE"""),"#N/A")</f>
        <v>#N/A</v>
      </c>
    </row>
    <row r="2178" spans="1:35" ht="12.75">
      <c r="A2178" s="6"/>
      <c r="B2178" s="6"/>
      <c r="C2178" s="6"/>
      <c r="D2178" s="10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 t="str">
        <f ca="1">IFERROR(__xludf.DUMMYFUNCTION("""COMPUTED_VALUE"""),"#N/A")</f>
        <v>#N/A</v>
      </c>
    </row>
    <row r="2179" spans="1:35" ht="12.75">
      <c r="A2179" s="6"/>
      <c r="B2179" s="6"/>
      <c r="C2179" s="6"/>
      <c r="D2179" s="10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 t="str">
        <f ca="1">IFERROR(__xludf.DUMMYFUNCTION("""COMPUTED_VALUE"""),"#N/A")</f>
        <v>#N/A</v>
      </c>
    </row>
    <row r="2180" spans="1:35" ht="12.75">
      <c r="A2180" s="6"/>
      <c r="B2180" s="6"/>
      <c r="C2180" s="6"/>
      <c r="D2180" s="10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 t="str">
        <f ca="1">IFERROR(__xludf.DUMMYFUNCTION("""COMPUTED_VALUE"""),"#N/A")</f>
        <v>#N/A</v>
      </c>
    </row>
    <row r="2181" spans="1:35" ht="12.75">
      <c r="A2181" s="6"/>
      <c r="B2181" s="6"/>
      <c r="C2181" s="6"/>
      <c r="D2181" s="10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 t="str">
        <f ca="1">IFERROR(__xludf.DUMMYFUNCTION("""COMPUTED_VALUE"""),"#N/A")</f>
        <v>#N/A</v>
      </c>
    </row>
    <row r="2182" spans="1:35" ht="12.75">
      <c r="A2182" s="6"/>
      <c r="B2182" s="6"/>
      <c r="C2182" s="6"/>
      <c r="D2182" s="10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 t="str">
        <f ca="1">IFERROR(__xludf.DUMMYFUNCTION("""COMPUTED_VALUE"""),"#N/A")</f>
        <v>#N/A</v>
      </c>
    </row>
    <row r="2183" spans="1:35" ht="12.75">
      <c r="A2183" s="6"/>
      <c r="B2183" s="6"/>
      <c r="C2183" s="6"/>
      <c r="D2183" s="10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 t="str">
        <f ca="1">IFERROR(__xludf.DUMMYFUNCTION("""COMPUTED_VALUE"""),"#N/A")</f>
        <v>#N/A</v>
      </c>
    </row>
    <row r="2184" spans="1:35" ht="12.75">
      <c r="A2184" s="6"/>
      <c r="B2184" s="6"/>
      <c r="C2184" s="6"/>
      <c r="D2184" s="10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 t="str">
        <f ca="1">IFERROR(__xludf.DUMMYFUNCTION("""COMPUTED_VALUE"""),"#N/A")</f>
        <v>#N/A</v>
      </c>
    </row>
    <row r="2185" spans="1:35" ht="12.75">
      <c r="A2185" s="6"/>
      <c r="B2185" s="6"/>
      <c r="C2185" s="6"/>
      <c r="D2185" s="10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 t="str">
        <f ca="1">IFERROR(__xludf.DUMMYFUNCTION("""COMPUTED_VALUE"""),"#N/A")</f>
        <v>#N/A</v>
      </c>
    </row>
    <row r="2186" spans="1:35" ht="12.75">
      <c r="A2186" s="6"/>
      <c r="B2186" s="6"/>
      <c r="C2186" s="6"/>
      <c r="D2186" s="10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 t="str">
        <f ca="1">IFERROR(__xludf.DUMMYFUNCTION("""COMPUTED_VALUE"""),"#N/A")</f>
        <v>#N/A</v>
      </c>
    </row>
    <row r="2187" spans="1:35" ht="12.75">
      <c r="A2187" s="6"/>
      <c r="B2187" s="6"/>
      <c r="C2187" s="6"/>
      <c r="D2187" s="10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 t="str">
        <f ca="1">IFERROR(__xludf.DUMMYFUNCTION("""COMPUTED_VALUE"""),"#N/A")</f>
        <v>#N/A</v>
      </c>
    </row>
    <row r="2188" spans="1:35" ht="12.75">
      <c r="A2188" s="6"/>
      <c r="B2188" s="6"/>
      <c r="C2188" s="6"/>
      <c r="D2188" s="10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 t="str">
        <f ca="1">IFERROR(__xludf.DUMMYFUNCTION("""COMPUTED_VALUE"""),"#N/A")</f>
        <v>#N/A</v>
      </c>
    </row>
    <row r="2189" spans="1:35" ht="12.75">
      <c r="A2189" s="6"/>
      <c r="B2189" s="6"/>
      <c r="C2189" s="6"/>
      <c r="D2189" s="10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 t="str">
        <f ca="1">IFERROR(__xludf.DUMMYFUNCTION("""COMPUTED_VALUE"""),"#N/A")</f>
        <v>#N/A</v>
      </c>
    </row>
    <row r="2190" spans="1:35" ht="12.75">
      <c r="A2190" s="6"/>
      <c r="B2190" s="6"/>
      <c r="C2190" s="6"/>
      <c r="D2190" s="10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 t="str">
        <f ca="1">IFERROR(__xludf.DUMMYFUNCTION("""COMPUTED_VALUE"""),"#N/A")</f>
        <v>#N/A</v>
      </c>
    </row>
    <row r="2191" spans="1:35" ht="12.75">
      <c r="A2191" s="6"/>
      <c r="B2191" s="6"/>
      <c r="C2191" s="6"/>
      <c r="D2191" s="10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 t="str">
        <f ca="1">IFERROR(__xludf.DUMMYFUNCTION("""COMPUTED_VALUE"""),"#N/A")</f>
        <v>#N/A</v>
      </c>
    </row>
    <row r="2192" spans="1:35" ht="12.75">
      <c r="A2192" s="6"/>
      <c r="B2192" s="6"/>
      <c r="C2192" s="6"/>
      <c r="D2192" s="10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 t="str">
        <f ca="1">IFERROR(__xludf.DUMMYFUNCTION("""COMPUTED_VALUE"""),"#N/A")</f>
        <v>#N/A</v>
      </c>
    </row>
    <row r="2193" spans="1:35" ht="12.75">
      <c r="A2193" s="6"/>
      <c r="B2193" s="6"/>
      <c r="C2193" s="6"/>
      <c r="D2193" s="10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 t="str">
        <f ca="1">IFERROR(__xludf.DUMMYFUNCTION("""COMPUTED_VALUE"""),"#N/A")</f>
        <v>#N/A</v>
      </c>
    </row>
    <row r="2194" spans="1:35" ht="12.75">
      <c r="A2194" s="6"/>
      <c r="B2194" s="6"/>
      <c r="C2194" s="6"/>
      <c r="D2194" s="10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 t="str">
        <f ca="1">IFERROR(__xludf.DUMMYFUNCTION("""COMPUTED_VALUE"""),"#N/A")</f>
        <v>#N/A</v>
      </c>
    </row>
    <row r="2195" spans="1:35" ht="12.75">
      <c r="A2195" s="6"/>
      <c r="B2195" s="6"/>
      <c r="C2195" s="6"/>
      <c r="D2195" s="10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 t="str">
        <f ca="1">IFERROR(__xludf.DUMMYFUNCTION("""COMPUTED_VALUE"""),"#N/A")</f>
        <v>#N/A</v>
      </c>
    </row>
    <row r="2196" spans="1:35" ht="12.75">
      <c r="A2196" s="6"/>
      <c r="B2196" s="6"/>
      <c r="C2196" s="6"/>
      <c r="D2196" s="10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 t="str">
        <f ca="1">IFERROR(__xludf.DUMMYFUNCTION("""COMPUTED_VALUE"""),"#N/A")</f>
        <v>#N/A</v>
      </c>
    </row>
    <row r="2197" spans="1:35" ht="12.75">
      <c r="A2197" s="6"/>
      <c r="B2197" s="6"/>
      <c r="C2197" s="6"/>
      <c r="D2197" s="10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 t="str">
        <f ca="1">IFERROR(__xludf.DUMMYFUNCTION("""COMPUTED_VALUE"""),"#N/A")</f>
        <v>#N/A</v>
      </c>
    </row>
    <row r="2198" spans="1:35" ht="12.75">
      <c r="A2198" s="6"/>
      <c r="B2198" s="6"/>
      <c r="C2198" s="6"/>
      <c r="D2198" s="10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 t="str">
        <f ca="1">IFERROR(__xludf.DUMMYFUNCTION("""COMPUTED_VALUE"""),"#N/A")</f>
        <v>#N/A</v>
      </c>
    </row>
    <row r="2199" spans="1:35" ht="12.75">
      <c r="A2199" s="6"/>
      <c r="B2199" s="6"/>
      <c r="C2199" s="6"/>
      <c r="D2199" s="10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 t="str">
        <f ca="1">IFERROR(__xludf.DUMMYFUNCTION("""COMPUTED_VALUE"""),"#N/A")</f>
        <v>#N/A</v>
      </c>
    </row>
    <row r="2200" spans="1:35" ht="12.75">
      <c r="A2200" s="6"/>
      <c r="B2200" s="6"/>
      <c r="C2200" s="6"/>
      <c r="D2200" s="10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 t="str">
        <f ca="1">IFERROR(__xludf.DUMMYFUNCTION("""COMPUTED_VALUE"""),"#N/A")</f>
        <v>#N/A</v>
      </c>
    </row>
    <row r="2201" spans="1:35" ht="12.75">
      <c r="A2201" s="6"/>
      <c r="B2201" s="6"/>
      <c r="C2201" s="6"/>
      <c r="D2201" s="10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 t="str">
        <f ca="1">IFERROR(__xludf.DUMMYFUNCTION("""COMPUTED_VALUE"""),"#N/A")</f>
        <v>#N/A</v>
      </c>
    </row>
    <row r="2202" spans="1:35" ht="12.75">
      <c r="A2202" s="6"/>
      <c r="B2202" s="6"/>
      <c r="C2202" s="6"/>
      <c r="D2202" s="10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 t="str">
        <f ca="1">IFERROR(__xludf.DUMMYFUNCTION("""COMPUTED_VALUE"""),"#N/A")</f>
        <v>#N/A</v>
      </c>
    </row>
    <row r="2203" spans="1:35" ht="12.75">
      <c r="A2203" s="6"/>
      <c r="B2203" s="6"/>
      <c r="C2203" s="6"/>
      <c r="D2203" s="10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 t="str">
        <f ca="1">IFERROR(__xludf.DUMMYFUNCTION("""COMPUTED_VALUE"""),"#N/A")</f>
        <v>#N/A</v>
      </c>
    </row>
    <row r="2204" spans="1:35" ht="12.75">
      <c r="A2204" s="6"/>
      <c r="B2204" s="6"/>
      <c r="C2204" s="6"/>
      <c r="D2204" s="10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 t="str">
        <f ca="1">IFERROR(__xludf.DUMMYFUNCTION("""COMPUTED_VALUE"""),"#N/A")</f>
        <v>#N/A</v>
      </c>
    </row>
    <row r="2205" spans="1:35" ht="12.75">
      <c r="A2205" s="6"/>
      <c r="B2205" s="6"/>
      <c r="C2205" s="6"/>
      <c r="D2205" s="10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 t="str">
        <f ca="1">IFERROR(__xludf.DUMMYFUNCTION("""COMPUTED_VALUE"""),"#N/A")</f>
        <v>#N/A</v>
      </c>
    </row>
    <row r="2206" spans="1:35" ht="12.75">
      <c r="A2206" s="6"/>
      <c r="B2206" s="6"/>
      <c r="C2206" s="6"/>
      <c r="D2206" s="10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 t="str">
        <f ca="1">IFERROR(__xludf.DUMMYFUNCTION("""COMPUTED_VALUE"""),"#N/A")</f>
        <v>#N/A</v>
      </c>
    </row>
    <row r="2207" spans="1:35" ht="12.75">
      <c r="A2207" s="6"/>
      <c r="B2207" s="6"/>
      <c r="C2207" s="6"/>
      <c r="D2207" s="10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 t="str">
        <f ca="1">IFERROR(__xludf.DUMMYFUNCTION("""COMPUTED_VALUE"""),"#N/A")</f>
        <v>#N/A</v>
      </c>
    </row>
    <row r="2208" spans="1:35" ht="12.75">
      <c r="A2208" s="6"/>
      <c r="B2208" s="6"/>
      <c r="C2208" s="6"/>
      <c r="D2208" s="10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 t="str">
        <f ca="1">IFERROR(__xludf.DUMMYFUNCTION("""COMPUTED_VALUE"""),"#N/A")</f>
        <v>#N/A</v>
      </c>
    </row>
    <row r="2209" spans="1:35" ht="12.75">
      <c r="A2209" s="6"/>
      <c r="B2209" s="6"/>
      <c r="C2209" s="6"/>
      <c r="D2209" s="10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 t="str">
        <f ca="1">IFERROR(__xludf.DUMMYFUNCTION("""COMPUTED_VALUE"""),"#N/A")</f>
        <v>#N/A</v>
      </c>
    </row>
    <row r="2210" spans="1:35" ht="12.75">
      <c r="A2210" s="6"/>
      <c r="B2210" s="6"/>
      <c r="C2210" s="6"/>
      <c r="D2210" s="10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 t="str">
        <f ca="1">IFERROR(__xludf.DUMMYFUNCTION("""COMPUTED_VALUE"""),"#N/A")</f>
        <v>#N/A</v>
      </c>
    </row>
    <row r="2211" spans="1:35" ht="12.75">
      <c r="A2211" s="6"/>
      <c r="B2211" s="6"/>
      <c r="C2211" s="6"/>
      <c r="D2211" s="10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 t="str">
        <f ca="1">IFERROR(__xludf.DUMMYFUNCTION("""COMPUTED_VALUE"""),"#N/A")</f>
        <v>#N/A</v>
      </c>
    </row>
    <row r="2212" spans="1:35" ht="12.75">
      <c r="A2212" s="6"/>
      <c r="B2212" s="6"/>
      <c r="C2212" s="6"/>
      <c r="D2212" s="10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 t="str">
        <f ca="1">IFERROR(__xludf.DUMMYFUNCTION("""COMPUTED_VALUE"""),"#N/A")</f>
        <v>#N/A</v>
      </c>
    </row>
    <row r="2213" spans="1:35" ht="12.75">
      <c r="A2213" s="6"/>
      <c r="B2213" s="6"/>
      <c r="C2213" s="6"/>
      <c r="D2213" s="10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 t="str">
        <f ca="1">IFERROR(__xludf.DUMMYFUNCTION("""COMPUTED_VALUE"""),"#N/A")</f>
        <v>#N/A</v>
      </c>
    </row>
    <row r="2214" spans="1:35" ht="12.75">
      <c r="A2214" s="6"/>
      <c r="B2214" s="6"/>
      <c r="C2214" s="6"/>
      <c r="D2214" s="10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 t="str">
        <f ca="1">IFERROR(__xludf.DUMMYFUNCTION("""COMPUTED_VALUE"""),"#N/A")</f>
        <v>#N/A</v>
      </c>
    </row>
    <row r="2215" spans="1:35" ht="12.75">
      <c r="A2215" s="6"/>
      <c r="B2215" s="6"/>
      <c r="C2215" s="6"/>
      <c r="D2215" s="10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 t="str">
        <f ca="1">IFERROR(__xludf.DUMMYFUNCTION("""COMPUTED_VALUE"""),"#N/A")</f>
        <v>#N/A</v>
      </c>
    </row>
    <row r="2216" spans="1:35" ht="12.75">
      <c r="A2216" s="6"/>
      <c r="B2216" s="6"/>
      <c r="C2216" s="6"/>
      <c r="D2216" s="10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 t="str">
        <f ca="1">IFERROR(__xludf.DUMMYFUNCTION("""COMPUTED_VALUE"""),"#N/A")</f>
        <v>#N/A</v>
      </c>
    </row>
    <row r="2217" spans="1:35" ht="12.75">
      <c r="A2217" s="6"/>
      <c r="B2217" s="6"/>
      <c r="C2217" s="6"/>
      <c r="D2217" s="10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 t="str">
        <f ca="1">IFERROR(__xludf.DUMMYFUNCTION("""COMPUTED_VALUE"""),"#N/A")</f>
        <v>#N/A</v>
      </c>
    </row>
    <row r="2218" spans="1:35" ht="12.75">
      <c r="A2218" s="6"/>
      <c r="B2218" s="6"/>
      <c r="C2218" s="6"/>
      <c r="D2218" s="10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 t="str">
        <f ca="1">IFERROR(__xludf.DUMMYFUNCTION("""COMPUTED_VALUE"""),"#N/A")</f>
        <v>#N/A</v>
      </c>
    </row>
    <row r="2219" spans="1:35" ht="12.75">
      <c r="A2219" s="6"/>
      <c r="B2219" s="6"/>
      <c r="C2219" s="6"/>
      <c r="D2219" s="10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 t="str">
        <f ca="1">IFERROR(__xludf.DUMMYFUNCTION("""COMPUTED_VALUE"""),"#N/A")</f>
        <v>#N/A</v>
      </c>
    </row>
    <row r="2220" spans="1:35" ht="12.75">
      <c r="A2220" s="6"/>
      <c r="B2220" s="6"/>
      <c r="C2220" s="6"/>
      <c r="D2220" s="10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 t="str">
        <f ca="1">IFERROR(__xludf.DUMMYFUNCTION("""COMPUTED_VALUE"""),"#N/A")</f>
        <v>#N/A</v>
      </c>
    </row>
    <row r="2221" spans="1:35" ht="12.75">
      <c r="A2221" s="6"/>
      <c r="B2221" s="6"/>
      <c r="C2221" s="6"/>
      <c r="D2221" s="10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 t="str">
        <f ca="1">IFERROR(__xludf.DUMMYFUNCTION("""COMPUTED_VALUE"""),"#N/A")</f>
        <v>#N/A</v>
      </c>
    </row>
    <row r="2222" spans="1:35" ht="12.75">
      <c r="A2222" s="6"/>
      <c r="B2222" s="6"/>
      <c r="C2222" s="6"/>
      <c r="D2222" s="10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 t="str">
        <f ca="1">IFERROR(__xludf.DUMMYFUNCTION("""COMPUTED_VALUE"""),"#N/A")</f>
        <v>#N/A</v>
      </c>
    </row>
    <row r="2223" spans="1:35" ht="12.75">
      <c r="A2223" s="6"/>
      <c r="B2223" s="6"/>
      <c r="C2223" s="6"/>
      <c r="D2223" s="10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 t="str">
        <f ca="1">IFERROR(__xludf.DUMMYFUNCTION("""COMPUTED_VALUE"""),"#N/A")</f>
        <v>#N/A</v>
      </c>
    </row>
    <row r="2224" spans="1:35" ht="12.75">
      <c r="A2224" s="6"/>
      <c r="B2224" s="6"/>
      <c r="C2224" s="6"/>
      <c r="D2224" s="10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 t="str">
        <f ca="1">IFERROR(__xludf.DUMMYFUNCTION("""COMPUTED_VALUE"""),"#N/A")</f>
        <v>#N/A</v>
      </c>
    </row>
    <row r="2225" spans="1:35" ht="12.75">
      <c r="A2225" s="6"/>
      <c r="B2225" s="6"/>
      <c r="C2225" s="6"/>
      <c r="D2225" s="10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 t="str">
        <f ca="1">IFERROR(__xludf.DUMMYFUNCTION("""COMPUTED_VALUE"""),"#N/A")</f>
        <v>#N/A</v>
      </c>
    </row>
    <row r="2226" spans="1:35" ht="12.75">
      <c r="A2226" s="6"/>
      <c r="B2226" s="6"/>
      <c r="C2226" s="6"/>
      <c r="D2226" s="10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 t="str">
        <f ca="1">IFERROR(__xludf.DUMMYFUNCTION("""COMPUTED_VALUE"""),"#N/A")</f>
        <v>#N/A</v>
      </c>
    </row>
    <row r="2227" spans="1:35" ht="12.75">
      <c r="A2227" s="6"/>
      <c r="B2227" s="6"/>
      <c r="C2227" s="6"/>
      <c r="D2227" s="10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 t="str">
        <f ca="1">IFERROR(__xludf.DUMMYFUNCTION("""COMPUTED_VALUE"""),"#N/A")</f>
        <v>#N/A</v>
      </c>
    </row>
    <row r="2228" spans="1:35" ht="12.75">
      <c r="A2228" s="6"/>
      <c r="B2228" s="6"/>
      <c r="C2228" s="6"/>
      <c r="D2228" s="10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 t="str">
        <f ca="1">IFERROR(__xludf.DUMMYFUNCTION("""COMPUTED_VALUE"""),"#N/A")</f>
        <v>#N/A</v>
      </c>
    </row>
    <row r="2229" spans="1:35" ht="12.75">
      <c r="A2229" s="6"/>
      <c r="B2229" s="6"/>
      <c r="C2229" s="6"/>
      <c r="D2229" s="10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 t="str">
        <f ca="1">IFERROR(__xludf.DUMMYFUNCTION("""COMPUTED_VALUE"""),"#N/A")</f>
        <v>#N/A</v>
      </c>
    </row>
    <row r="2230" spans="1:35" ht="12.75">
      <c r="A2230" s="6"/>
      <c r="B2230" s="6"/>
      <c r="C2230" s="6"/>
      <c r="D2230" s="10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 t="str">
        <f ca="1">IFERROR(__xludf.DUMMYFUNCTION("""COMPUTED_VALUE"""),"#N/A")</f>
        <v>#N/A</v>
      </c>
    </row>
    <row r="2231" spans="1:35" ht="12.75">
      <c r="A2231" s="6"/>
      <c r="B2231" s="6"/>
      <c r="C2231" s="6"/>
      <c r="D2231" s="10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 t="str">
        <f ca="1">IFERROR(__xludf.DUMMYFUNCTION("""COMPUTED_VALUE"""),"#N/A")</f>
        <v>#N/A</v>
      </c>
    </row>
    <row r="2232" spans="1:35" ht="12.75">
      <c r="A2232" s="6"/>
      <c r="B2232" s="6"/>
      <c r="C2232" s="6"/>
      <c r="D2232" s="10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 t="str">
        <f ca="1">IFERROR(__xludf.DUMMYFUNCTION("""COMPUTED_VALUE"""),"#N/A")</f>
        <v>#N/A</v>
      </c>
    </row>
    <row r="2233" spans="1:35" ht="12.75">
      <c r="A2233" s="6"/>
      <c r="B2233" s="6"/>
      <c r="C2233" s="6"/>
      <c r="D2233" s="10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 t="str">
        <f ca="1">IFERROR(__xludf.DUMMYFUNCTION("""COMPUTED_VALUE"""),"#N/A")</f>
        <v>#N/A</v>
      </c>
    </row>
    <row r="2234" spans="1:35" ht="12.75">
      <c r="A2234" s="6"/>
      <c r="B2234" s="6"/>
      <c r="C2234" s="6"/>
      <c r="D2234" s="10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 t="str">
        <f ca="1">IFERROR(__xludf.DUMMYFUNCTION("""COMPUTED_VALUE"""),"#N/A")</f>
        <v>#N/A</v>
      </c>
    </row>
    <row r="2235" spans="1:35" ht="12.75">
      <c r="A2235" s="6"/>
      <c r="B2235" s="6"/>
      <c r="C2235" s="6"/>
      <c r="D2235" s="10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 t="str">
        <f ca="1">IFERROR(__xludf.DUMMYFUNCTION("""COMPUTED_VALUE"""),"#N/A")</f>
        <v>#N/A</v>
      </c>
    </row>
    <row r="2236" spans="1:35" ht="12.75">
      <c r="A2236" s="6"/>
      <c r="B2236" s="6"/>
      <c r="C2236" s="6"/>
      <c r="D2236" s="10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 t="str">
        <f ca="1">IFERROR(__xludf.DUMMYFUNCTION("""COMPUTED_VALUE"""),"#N/A")</f>
        <v>#N/A</v>
      </c>
    </row>
    <row r="2237" spans="1:35" ht="12.75">
      <c r="A2237" s="6"/>
      <c r="B2237" s="6"/>
      <c r="C2237" s="6"/>
      <c r="D2237" s="10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 t="str">
        <f ca="1">IFERROR(__xludf.DUMMYFUNCTION("""COMPUTED_VALUE"""),"#N/A")</f>
        <v>#N/A</v>
      </c>
    </row>
    <row r="2238" spans="1:35" ht="12.75">
      <c r="A2238" s="6"/>
      <c r="B2238" s="6"/>
      <c r="C2238" s="6"/>
      <c r="D2238" s="10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 t="str">
        <f ca="1">IFERROR(__xludf.DUMMYFUNCTION("""COMPUTED_VALUE"""),"#N/A")</f>
        <v>#N/A</v>
      </c>
    </row>
    <row r="2239" spans="1:35" ht="12.75">
      <c r="A2239" s="6"/>
      <c r="B2239" s="6"/>
      <c r="C2239" s="6"/>
      <c r="D2239" s="10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 t="str">
        <f ca="1">IFERROR(__xludf.DUMMYFUNCTION("""COMPUTED_VALUE"""),"#N/A")</f>
        <v>#N/A</v>
      </c>
    </row>
    <row r="2240" spans="1:35" ht="12.75">
      <c r="A2240" s="6"/>
      <c r="B2240" s="6"/>
      <c r="C2240" s="6"/>
      <c r="D2240" s="10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 t="str">
        <f ca="1">IFERROR(__xludf.DUMMYFUNCTION("""COMPUTED_VALUE"""),"#N/A")</f>
        <v>#N/A</v>
      </c>
    </row>
    <row r="2241" spans="1:35" ht="12.75">
      <c r="A2241" s="6"/>
      <c r="B2241" s="6"/>
      <c r="C2241" s="6"/>
      <c r="D2241" s="10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 t="str">
        <f ca="1">IFERROR(__xludf.DUMMYFUNCTION("""COMPUTED_VALUE"""),"#N/A")</f>
        <v>#N/A</v>
      </c>
    </row>
    <row r="2242" spans="1:35" ht="12.75">
      <c r="A2242" s="6"/>
      <c r="B2242" s="6"/>
      <c r="C2242" s="6"/>
      <c r="D2242" s="10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 t="str">
        <f ca="1">IFERROR(__xludf.DUMMYFUNCTION("""COMPUTED_VALUE"""),"#N/A")</f>
        <v>#N/A</v>
      </c>
    </row>
    <row r="2243" spans="1:35" ht="12.75">
      <c r="A2243" s="6"/>
      <c r="B2243" s="6"/>
      <c r="C2243" s="6"/>
      <c r="D2243" s="10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 t="str">
        <f ca="1">IFERROR(__xludf.DUMMYFUNCTION("""COMPUTED_VALUE"""),"#N/A")</f>
        <v>#N/A</v>
      </c>
    </row>
    <row r="2244" spans="1:35" ht="12.75">
      <c r="A2244" s="6"/>
      <c r="B2244" s="6"/>
      <c r="C2244" s="6"/>
      <c r="D2244" s="10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 t="str">
        <f ca="1">IFERROR(__xludf.DUMMYFUNCTION("""COMPUTED_VALUE"""),"#N/A")</f>
        <v>#N/A</v>
      </c>
    </row>
    <row r="2245" spans="1:35" ht="12.75">
      <c r="A2245" s="6"/>
      <c r="B2245" s="6"/>
      <c r="C2245" s="6"/>
      <c r="D2245" s="10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 t="str">
        <f ca="1">IFERROR(__xludf.DUMMYFUNCTION("""COMPUTED_VALUE"""),"#N/A")</f>
        <v>#N/A</v>
      </c>
    </row>
    <row r="2246" spans="1:35" ht="12.75">
      <c r="A2246" s="6"/>
      <c r="B2246" s="6"/>
      <c r="C2246" s="6"/>
      <c r="D2246" s="10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 t="str">
        <f ca="1">IFERROR(__xludf.DUMMYFUNCTION("""COMPUTED_VALUE"""),"#N/A")</f>
        <v>#N/A</v>
      </c>
    </row>
    <row r="2247" spans="1:35" ht="12.75">
      <c r="A2247" s="6"/>
      <c r="B2247" s="6"/>
      <c r="C2247" s="6"/>
      <c r="D2247" s="10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 t="str">
        <f ca="1">IFERROR(__xludf.DUMMYFUNCTION("""COMPUTED_VALUE"""),"#N/A")</f>
        <v>#N/A</v>
      </c>
    </row>
    <row r="2248" spans="1:35" ht="12.75">
      <c r="A2248" s="6"/>
      <c r="B2248" s="6"/>
      <c r="C2248" s="6"/>
      <c r="D2248" s="10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 t="str">
        <f ca="1">IFERROR(__xludf.DUMMYFUNCTION("""COMPUTED_VALUE"""),"#N/A")</f>
        <v>#N/A</v>
      </c>
    </row>
    <row r="2249" spans="1:35" ht="12.75">
      <c r="A2249" s="6"/>
      <c r="B2249" s="6"/>
      <c r="C2249" s="6"/>
      <c r="D2249" s="10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 t="str">
        <f ca="1">IFERROR(__xludf.DUMMYFUNCTION("""COMPUTED_VALUE"""),"#N/A")</f>
        <v>#N/A</v>
      </c>
    </row>
    <row r="2250" spans="1:35" ht="12.75">
      <c r="A2250" s="6"/>
      <c r="B2250" s="6"/>
      <c r="C2250" s="6"/>
      <c r="D2250" s="10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 t="str">
        <f ca="1">IFERROR(__xludf.DUMMYFUNCTION("""COMPUTED_VALUE"""),"#N/A")</f>
        <v>#N/A</v>
      </c>
    </row>
    <row r="2251" spans="1:35" ht="12.75">
      <c r="A2251" s="6"/>
      <c r="B2251" s="6"/>
      <c r="C2251" s="6"/>
      <c r="D2251" s="10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 t="str">
        <f ca="1">IFERROR(__xludf.DUMMYFUNCTION("""COMPUTED_VALUE"""),"#N/A")</f>
        <v>#N/A</v>
      </c>
    </row>
    <row r="2252" spans="1:35" ht="12.75">
      <c r="A2252" s="6"/>
      <c r="B2252" s="6"/>
      <c r="C2252" s="6"/>
      <c r="D2252" s="10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 t="str">
        <f ca="1">IFERROR(__xludf.DUMMYFUNCTION("""COMPUTED_VALUE"""),"#N/A")</f>
        <v>#N/A</v>
      </c>
    </row>
    <row r="2253" spans="1:35" ht="12.75">
      <c r="A2253" s="6"/>
      <c r="B2253" s="6"/>
      <c r="C2253" s="6"/>
      <c r="D2253" s="10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 t="str">
        <f ca="1">IFERROR(__xludf.DUMMYFUNCTION("""COMPUTED_VALUE"""),"#N/A")</f>
        <v>#N/A</v>
      </c>
    </row>
    <row r="2254" spans="1:35" ht="12.75">
      <c r="A2254" s="6"/>
      <c r="B2254" s="6"/>
      <c r="C2254" s="6"/>
      <c r="D2254" s="10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 t="str">
        <f ca="1">IFERROR(__xludf.DUMMYFUNCTION("""COMPUTED_VALUE"""),"#N/A")</f>
        <v>#N/A</v>
      </c>
    </row>
    <row r="2255" spans="1:35" ht="12.75">
      <c r="A2255" s="6"/>
      <c r="B2255" s="6"/>
      <c r="C2255" s="6"/>
      <c r="D2255" s="10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 t="str">
        <f ca="1">IFERROR(__xludf.DUMMYFUNCTION("""COMPUTED_VALUE"""),"#N/A")</f>
        <v>#N/A</v>
      </c>
    </row>
    <row r="2256" spans="1:35" ht="12.75">
      <c r="A2256" s="6"/>
      <c r="B2256" s="6"/>
      <c r="C2256" s="6"/>
      <c r="D2256" s="10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 t="str">
        <f ca="1">IFERROR(__xludf.DUMMYFUNCTION("""COMPUTED_VALUE"""),"#N/A")</f>
        <v>#N/A</v>
      </c>
    </row>
    <row r="2257" spans="1:35" ht="12.75">
      <c r="A2257" s="6"/>
      <c r="B2257" s="6"/>
      <c r="C2257" s="6"/>
      <c r="D2257" s="10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 t="str">
        <f ca="1">IFERROR(__xludf.DUMMYFUNCTION("""COMPUTED_VALUE"""),"#N/A")</f>
        <v>#N/A</v>
      </c>
    </row>
    <row r="2258" spans="1:35" ht="12.75">
      <c r="A2258" s="6"/>
      <c r="B2258" s="6"/>
      <c r="C2258" s="6"/>
      <c r="D2258" s="10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 t="str">
        <f ca="1">IFERROR(__xludf.DUMMYFUNCTION("""COMPUTED_VALUE"""),"#N/A")</f>
        <v>#N/A</v>
      </c>
    </row>
    <row r="2259" spans="1:35" ht="12.75">
      <c r="A2259" s="6"/>
      <c r="B2259" s="6"/>
      <c r="C2259" s="6"/>
      <c r="D2259" s="10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 t="str">
        <f ca="1">IFERROR(__xludf.DUMMYFUNCTION("""COMPUTED_VALUE"""),"#N/A")</f>
        <v>#N/A</v>
      </c>
    </row>
    <row r="2260" spans="1:35" ht="12.75">
      <c r="A2260" s="6"/>
      <c r="B2260" s="6"/>
      <c r="C2260" s="6"/>
      <c r="D2260" s="10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 t="str">
        <f ca="1">IFERROR(__xludf.DUMMYFUNCTION("""COMPUTED_VALUE"""),"#N/A")</f>
        <v>#N/A</v>
      </c>
    </row>
    <row r="2261" spans="1:35" ht="12.75">
      <c r="A2261" s="6"/>
      <c r="B2261" s="6"/>
      <c r="C2261" s="6"/>
      <c r="D2261" s="10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 t="str">
        <f ca="1">IFERROR(__xludf.DUMMYFUNCTION("""COMPUTED_VALUE"""),"#N/A")</f>
        <v>#N/A</v>
      </c>
    </row>
    <row r="2262" spans="1:35" ht="12.75">
      <c r="A2262" s="6"/>
      <c r="B2262" s="6"/>
      <c r="C2262" s="6"/>
      <c r="D2262" s="10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 t="str">
        <f ca="1">IFERROR(__xludf.DUMMYFUNCTION("""COMPUTED_VALUE"""),"#N/A")</f>
        <v>#N/A</v>
      </c>
    </row>
    <row r="2263" spans="1:35" ht="12.75">
      <c r="A2263" s="6"/>
      <c r="B2263" s="6"/>
      <c r="C2263" s="6"/>
      <c r="D2263" s="10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 t="str">
        <f ca="1">IFERROR(__xludf.DUMMYFUNCTION("""COMPUTED_VALUE"""),"#N/A")</f>
        <v>#N/A</v>
      </c>
    </row>
    <row r="2264" spans="1:35" ht="12.75">
      <c r="A2264" s="6"/>
      <c r="B2264" s="6"/>
      <c r="C2264" s="6"/>
      <c r="D2264" s="10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 t="str">
        <f ca="1">IFERROR(__xludf.DUMMYFUNCTION("""COMPUTED_VALUE"""),"#N/A")</f>
        <v>#N/A</v>
      </c>
    </row>
    <row r="2265" spans="1:35" ht="12.75">
      <c r="A2265" s="6"/>
      <c r="B2265" s="6"/>
      <c r="C2265" s="6"/>
      <c r="D2265" s="10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 t="str">
        <f ca="1">IFERROR(__xludf.DUMMYFUNCTION("""COMPUTED_VALUE"""),"#N/A")</f>
        <v>#N/A</v>
      </c>
    </row>
    <row r="2266" spans="1:35" ht="12.75">
      <c r="A2266" s="6"/>
      <c r="B2266" s="6"/>
      <c r="C2266" s="6"/>
      <c r="D2266" s="10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 t="str">
        <f ca="1">IFERROR(__xludf.DUMMYFUNCTION("""COMPUTED_VALUE"""),"#N/A")</f>
        <v>#N/A</v>
      </c>
    </row>
    <row r="2267" spans="1:35" ht="12.75">
      <c r="A2267" s="6"/>
      <c r="B2267" s="6"/>
      <c r="C2267" s="6"/>
      <c r="D2267" s="10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 t="str">
        <f ca="1">IFERROR(__xludf.DUMMYFUNCTION("""COMPUTED_VALUE"""),"#N/A")</f>
        <v>#N/A</v>
      </c>
    </row>
    <row r="2268" spans="1:35" ht="12.75">
      <c r="A2268" s="6"/>
      <c r="B2268" s="6"/>
      <c r="C2268" s="6"/>
      <c r="D2268" s="10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 t="str">
        <f ca="1">IFERROR(__xludf.DUMMYFUNCTION("""COMPUTED_VALUE"""),"#N/A")</f>
        <v>#N/A</v>
      </c>
    </row>
    <row r="2269" spans="1:35" ht="12.75">
      <c r="A2269" s="6"/>
      <c r="B2269" s="6"/>
      <c r="C2269" s="6"/>
      <c r="D2269" s="10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 t="str">
        <f ca="1">IFERROR(__xludf.DUMMYFUNCTION("""COMPUTED_VALUE"""),"#N/A")</f>
        <v>#N/A</v>
      </c>
    </row>
    <row r="2270" spans="1:35" ht="12.75">
      <c r="A2270" s="6"/>
      <c r="B2270" s="6"/>
      <c r="C2270" s="6"/>
      <c r="D2270" s="10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 t="str">
        <f ca="1">IFERROR(__xludf.DUMMYFUNCTION("""COMPUTED_VALUE"""),"#N/A")</f>
        <v>#N/A</v>
      </c>
    </row>
    <row r="2271" spans="1:35" ht="12.75">
      <c r="A2271" s="6"/>
      <c r="B2271" s="6"/>
      <c r="C2271" s="6"/>
      <c r="D2271" s="10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 t="str">
        <f ca="1">IFERROR(__xludf.DUMMYFUNCTION("""COMPUTED_VALUE"""),"#N/A")</f>
        <v>#N/A</v>
      </c>
    </row>
    <row r="2272" spans="1:35" ht="12.75">
      <c r="A2272" s="6"/>
      <c r="B2272" s="6"/>
      <c r="C2272" s="6"/>
      <c r="D2272" s="10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 t="str">
        <f ca="1">IFERROR(__xludf.DUMMYFUNCTION("""COMPUTED_VALUE"""),"#N/A")</f>
        <v>#N/A</v>
      </c>
    </row>
    <row r="2273" spans="1:35" ht="12.75">
      <c r="A2273" s="6"/>
      <c r="B2273" s="6"/>
      <c r="C2273" s="6"/>
      <c r="D2273" s="10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 t="str">
        <f ca="1">IFERROR(__xludf.DUMMYFUNCTION("""COMPUTED_VALUE"""),"#N/A")</f>
        <v>#N/A</v>
      </c>
    </row>
    <row r="2274" spans="1:35" ht="12.75">
      <c r="A2274" s="6"/>
      <c r="B2274" s="6"/>
      <c r="C2274" s="6"/>
      <c r="D2274" s="10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 t="str">
        <f ca="1">IFERROR(__xludf.DUMMYFUNCTION("""COMPUTED_VALUE"""),"#N/A")</f>
        <v>#N/A</v>
      </c>
    </row>
    <row r="2275" spans="1:35" ht="12.75">
      <c r="A2275" s="6"/>
      <c r="B2275" s="6"/>
      <c r="C2275" s="6"/>
      <c r="D2275" s="10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 t="str">
        <f ca="1">IFERROR(__xludf.DUMMYFUNCTION("""COMPUTED_VALUE"""),"#N/A")</f>
        <v>#N/A</v>
      </c>
    </row>
    <row r="2276" spans="1:35" ht="12.75">
      <c r="A2276" s="6"/>
      <c r="B2276" s="6"/>
      <c r="C2276" s="6"/>
      <c r="D2276" s="10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 t="str">
        <f ca="1">IFERROR(__xludf.DUMMYFUNCTION("""COMPUTED_VALUE"""),"#N/A")</f>
        <v>#N/A</v>
      </c>
    </row>
    <row r="2277" spans="1:35" ht="12.75">
      <c r="A2277" s="6"/>
      <c r="B2277" s="6"/>
      <c r="C2277" s="6"/>
      <c r="D2277" s="10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 t="str">
        <f ca="1">IFERROR(__xludf.DUMMYFUNCTION("""COMPUTED_VALUE"""),"#N/A")</f>
        <v>#N/A</v>
      </c>
    </row>
    <row r="2278" spans="1:35" ht="12.75">
      <c r="A2278" s="6"/>
      <c r="B2278" s="6"/>
      <c r="C2278" s="6"/>
      <c r="D2278" s="10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 t="str">
        <f ca="1">IFERROR(__xludf.DUMMYFUNCTION("""COMPUTED_VALUE"""),"#N/A")</f>
        <v>#N/A</v>
      </c>
    </row>
    <row r="2279" spans="1:35" ht="12.75">
      <c r="A2279" s="6"/>
      <c r="B2279" s="6"/>
      <c r="C2279" s="6"/>
      <c r="D2279" s="10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 t="str">
        <f ca="1">IFERROR(__xludf.DUMMYFUNCTION("""COMPUTED_VALUE"""),"#N/A")</f>
        <v>#N/A</v>
      </c>
    </row>
    <row r="2280" spans="1:35" ht="12.75">
      <c r="A2280" s="6"/>
      <c r="B2280" s="6"/>
      <c r="C2280" s="6"/>
      <c r="D2280" s="10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 t="str">
        <f ca="1">IFERROR(__xludf.DUMMYFUNCTION("""COMPUTED_VALUE"""),"#N/A")</f>
        <v>#N/A</v>
      </c>
    </row>
    <row r="2281" spans="1:35" ht="12.75">
      <c r="A2281" s="6"/>
      <c r="B2281" s="6"/>
      <c r="C2281" s="6"/>
      <c r="D2281" s="10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 t="str">
        <f ca="1">IFERROR(__xludf.DUMMYFUNCTION("""COMPUTED_VALUE"""),"#N/A")</f>
        <v>#N/A</v>
      </c>
    </row>
    <row r="2282" spans="1:35" ht="12.75">
      <c r="A2282" s="6"/>
      <c r="B2282" s="6"/>
      <c r="C2282" s="6"/>
      <c r="D2282" s="10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 t="str">
        <f ca="1">IFERROR(__xludf.DUMMYFUNCTION("""COMPUTED_VALUE"""),"#N/A")</f>
        <v>#N/A</v>
      </c>
    </row>
    <row r="2283" spans="1:35" ht="12.75">
      <c r="A2283" s="6"/>
      <c r="B2283" s="6"/>
      <c r="C2283" s="6"/>
      <c r="D2283" s="10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 t="str">
        <f ca="1">IFERROR(__xludf.DUMMYFUNCTION("""COMPUTED_VALUE"""),"#N/A")</f>
        <v>#N/A</v>
      </c>
    </row>
    <row r="2284" spans="1:35" ht="12.75">
      <c r="A2284" s="6"/>
      <c r="B2284" s="6"/>
      <c r="C2284" s="6"/>
      <c r="D2284" s="10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 t="str">
        <f ca="1">IFERROR(__xludf.DUMMYFUNCTION("""COMPUTED_VALUE"""),"#N/A")</f>
        <v>#N/A</v>
      </c>
    </row>
    <row r="2285" spans="1:35" ht="12.75">
      <c r="A2285" s="6"/>
      <c r="B2285" s="6"/>
      <c r="C2285" s="6"/>
      <c r="D2285" s="10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 t="str">
        <f ca="1">IFERROR(__xludf.DUMMYFUNCTION("""COMPUTED_VALUE"""),"#N/A")</f>
        <v>#N/A</v>
      </c>
    </row>
    <row r="2286" spans="1:35" ht="12.75">
      <c r="A2286" s="6"/>
      <c r="B2286" s="6"/>
      <c r="C2286" s="6"/>
      <c r="D2286" s="10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 t="str">
        <f ca="1">IFERROR(__xludf.DUMMYFUNCTION("""COMPUTED_VALUE"""),"#N/A")</f>
        <v>#N/A</v>
      </c>
    </row>
    <row r="2287" spans="1:35" ht="12.75">
      <c r="A2287" s="6"/>
      <c r="B2287" s="6"/>
      <c r="C2287" s="6"/>
      <c r="D2287" s="10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 t="str">
        <f ca="1">IFERROR(__xludf.DUMMYFUNCTION("""COMPUTED_VALUE"""),"#N/A")</f>
        <v>#N/A</v>
      </c>
    </row>
    <row r="2288" spans="1:35" ht="12.75">
      <c r="A2288" s="6"/>
      <c r="B2288" s="6"/>
      <c r="C2288" s="6"/>
      <c r="D2288" s="10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 t="str">
        <f ca="1">IFERROR(__xludf.DUMMYFUNCTION("""COMPUTED_VALUE"""),"#N/A")</f>
        <v>#N/A</v>
      </c>
    </row>
    <row r="2289" spans="1:35" ht="12.75">
      <c r="A2289" s="6"/>
      <c r="B2289" s="6"/>
      <c r="C2289" s="6"/>
      <c r="D2289" s="10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 t="str">
        <f ca="1">IFERROR(__xludf.DUMMYFUNCTION("""COMPUTED_VALUE"""),"#N/A")</f>
        <v>#N/A</v>
      </c>
    </row>
    <row r="2290" spans="1:35" ht="12.75">
      <c r="A2290" s="6"/>
      <c r="B2290" s="6"/>
      <c r="C2290" s="6"/>
      <c r="D2290" s="10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 t="str">
        <f ca="1">IFERROR(__xludf.DUMMYFUNCTION("""COMPUTED_VALUE"""),"#N/A")</f>
        <v>#N/A</v>
      </c>
    </row>
    <row r="2291" spans="1:35" ht="12.75">
      <c r="A2291" s="6"/>
      <c r="B2291" s="6"/>
      <c r="C2291" s="6"/>
      <c r="D2291" s="10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 t="str">
        <f ca="1">IFERROR(__xludf.DUMMYFUNCTION("""COMPUTED_VALUE"""),"#N/A")</f>
        <v>#N/A</v>
      </c>
    </row>
    <row r="2292" spans="1:35" ht="12.75">
      <c r="A2292" s="6"/>
      <c r="B2292" s="6"/>
      <c r="C2292" s="6"/>
      <c r="D2292" s="10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 t="str">
        <f ca="1">IFERROR(__xludf.DUMMYFUNCTION("""COMPUTED_VALUE"""),"#N/A")</f>
        <v>#N/A</v>
      </c>
    </row>
    <row r="2293" spans="1:35" ht="12.75">
      <c r="A2293" s="6"/>
      <c r="B2293" s="6"/>
      <c r="C2293" s="6"/>
      <c r="D2293" s="10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 t="str">
        <f ca="1">IFERROR(__xludf.DUMMYFUNCTION("""COMPUTED_VALUE"""),"#N/A")</f>
        <v>#N/A</v>
      </c>
    </row>
    <row r="2294" spans="1:35" ht="12.75">
      <c r="A2294" s="6"/>
      <c r="B2294" s="6"/>
      <c r="C2294" s="6"/>
      <c r="D2294" s="10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 t="str">
        <f ca="1">IFERROR(__xludf.DUMMYFUNCTION("""COMPUTED_VALUE"""),"#N/A")</f>
        <v>#N/A</v>
      </c>
    </row>
    <row r="2295" spans="1:35" ht="12.75">
      <c r="A2295" s="6"/>
      <c r="B2295" s="6"/>
      <c r="C2295" s="6"/>
      <c r="D2295" s="10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 t="str">
        <f ca="1">IFERROR(__xludf.DUMMYFUNCTION("""COMPUTED_VALUE"""),"#N/A")</f>
        <v>#N/A</v>
      </c>
    </row>
    <row r="2296" spans="1:35" ht="12.75">
      <c r="A2296" s="6"/>
      <c r="B2296" s="6"/>
      <c r="C2296" s="6"/>
      <c r="D2296" s="10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 t="str">
        <f ca="1">IFERROR(__xludf.DUMMYFUNCTION("""COMPUTED_VALUE"""),"#N/A")</f>
        <v>#N/A</v>
      </c>
    </row>
    <row r="2297" spans="1:35" ht="12.75">
      <c r="A2297" s="6"/>
      <c r="B2297" s="6"/>
      <c r="C2297" s="6"/>
      <c r="D2297" s="10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 t="str">
        <f ca="1">IFERROR(__xludf.DUMMYFUNCTION("""COMPUTED_VALUE"""),"#N/A")</f>
        <v>#N/A</v>
      </c>
    </row>
    <row r="2298" spans="1:35" ht="12.75">
      <c r="A2298" s="6"/>
      <c r="B2298" s="6"/>
      <c r="C2298" s="6"/>
      <c r="D2298" s="10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 t="str">
        <f ca="1">IFERROR(__xludf.DUMMYFUNCTION("""COMPUTED_VALUE"""),"#N/A")</f>
        <v>#N/A</v>
      </c>
    </row>
    <row r="2299" spans="1:35" ht="12.75">
      <c r="A2299" s="6"/>
      <c r="B2299" s="6"/>
      <c r="C2299" s="6"/>
      <c r="D2299" s="10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 t="str">
        <f ca="1">IFERROR(__xludf.DUMMYFUNCTION("""COMPUTED_VALUE"""),"#N/A")</f>
        <v>#N/A</v>
      </c>
    </row>
    <row r="2300" spans="1:35" ht="12.75">
      <c r="A2300" s="6"/>
      <c r="B2300" s="6"/>
      <c r="C2300" s="6"/>
      <c r="D2300" s="10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 t="str">
        <f ca="1">IFERROR(__xludf.DUMMYFUNCTION("""COMPUTED_VALUE"""),"#N/A")</f>
        <v>#N/A</v>
      </c>
    </row>
    <row r="2301" spans="1:35" ht="12.75">
      <c r="A2301" s="6"/>
      <c r="B2301" s="6"/>
      <c r="C2301" s="6"/>
      <c r="D2301" s="10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 t="str">
        <f ca="1">IFERROR(__xludf.DUMMYFUNCTION("""COMPUTED_VALUE"""),"#N/A")</f>
        <v>#N/A</v>
      </c>
    </row>
    <row r="2302" spans="1:35" ht="12.75">
      <c r="A2302" s="6"/>
      <c r="B2302" s="6"/>
      <c r="C2302" s="6"/>
      <c r="D2302" s="10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 t="str">
        <f ca="1">IFERROR(__xludf.DUMMYFUNCTION("""COMPUTED_VALUE"""),"#N/A")</f>
        <v>#N/A</v>
      </c>
    </row>
    <row r="2303" spans="1:35" ht="12.75">
      <c r="A2303" s="6"/>
      <c r="B2303" s="6"/>
      <c r="C2303" s="6"/>
      <c r="D2303" s="10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 t="str">
        <f ca="1">IFERROR(__xludf.DUMMYFUNCTION("""COMPUTED_VALUE"""),"#N/A")</f>
        <v>#N/A</v>
      </c>
    </row>
    <row r="2304" spans="1:35" ht="12.75">
      <c r="A2304" s="6"/>
      <c r="B2304" s="6"/>
      <c r="C2304" s="6"/>
      <c r="D2304" s="10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 t="str">
        <f ca="1">IFERROR(__xludf.DUMMYFUNCTION("""COMPUTED_VALUE"""),"#N/A")</f>
        <v>#N/A</v>
      </c>
    </row>
    <row r="2305" spans="1:35" ht="12.75">
      <c r="A2305" s="6"/>
      <c r="B2305" s="6"/>
      <c r="C2305" s="6"/>
      <c r="D2305" s="10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 t="str">
        <f ca="1">IFERROR(__xludf.DUMMYFUNCTION("""COMPUTED_VALUE"""),"#N/A")</f>
        <v>#N/A</v>
      </c>
    </row>
    <row r="2306" spans="1:35" ht="12.75">
      <c r="A2306" s="6"/>
      <c r="B2306" s="6"/>
      <c r="C2306" s="6"/>
      <c r="D2306" s="10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 t="str">
        <f ca="1">IFERROR(__xludf.DUMMYFUNCTION("""COMPUTED_VALUE"""),"#N/A")</f>
        <v>#N/A</v>
      </c>
    </row>
    <row r="2307" spans="1:35" ht="12.75">
      <c r="A2307" s="6"/>
      <c r="B2307" s="6"/>
      <c r="C2307" s="6"/>
      <c r="D2307" s="10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 t="str">
        <f ca="1">IFERROR(__xludf.DUMMYFUNCTION("""COMPUTED_VALUE"""),"#N/A")</f>
        <v>#N/A</v>
      </c>
    </row>
    <row r="2308" spans="1:35" ht="12.75">
      <c r="A2308" s="6"/>
      <c r="B2308" s="6"/>
      <c r="C2308" s="6"/>
      <c r="D2308" s="10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 t="str">
        <f ca="1">IFERROR(__xludf.DUMMYFUNCTION("""COMPUTED_VALUE"""),"#N/A")</f>
        <v>#N/A</v>
      </c>
    </row>
    <row r="2309" spans="1:35" ht="12.75">
      <c r="A2309" s="6"/>
      <c r="B2309" s="6"/>
      <c r="C2309" s="6"/>
      <c r="D2309" s="10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 t="str">
        <f ca="1">IFERROR(__xludf.DUMMYFUNCTION("""COMPUTED_VALUE"""),"#N/A")</f>
        <v>#N/A</v>
      </c>
    </row>
    <row r="2310" spans="1:35" ht="12.75">
      <c r="A2310" s="6"/>
      <c r="B2310" s="6"/>
      <c r="C2310" s="6"/>
      <c r="D2310" s="10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 t="str">
        <f ca="1">IFERROR(__xludf.DUMMYFUNCTION("""COMPUTED_VALUE"""),"#N/A")</f>
        <v>#N/A</v>
      </c>
    </row>
    <row r="2311" spans="1:35" ht="12.75">
      <c r="A2311" s="6"/>
      <c r="B2311" s="6"/>
      <c r="C2311" s="6"/>
      <c r="D2311" s="10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 t="str">
        <f ca="1">IFERROR(__xludf.DUMMYFUNCTION("""COMPUTED_VALUE"""),"#N/A")</f>
        <v>#N/A</v>
      </c>
    </row>
    <row r="2312" spans="1:35" ht="12.75">
      <c r="A2312" s="6"/>
      <c r="B2312" s="6"/>
      <c r="C2312" s="6"/>
      <c r="D2312" s="10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 t="str">
        <f ca="1">IFERROR(__xludf.DUMMYFUNCTION("""COMPUTED_VALUE"""),"#N/A")</f>
        <v>#N/A</v>
      </c>
    </row>
    <row r="2313" spans="1:35" ht="12.75">
      <c r="A2313" s="6"/>
      <c r="B2313" s="6"/>
      <c r="C2313" s="6"/>
      <c r="D2313" s="10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 t="str">
        <f ca="1">IFERROR(__xludf.DUMMYFUNCTION("""COMPUTED_VALUE"""),"#N/A")</f>
        <v>#N/A</v>
      </c>
    </row>
    <row r="2314" spans="1:35" ht="12.75">
      <c r="A2314" s="6"/>
      <c r="B2314" s="6"/>
      <c r="C2314" s="6"/>
      <c r="D2314" s="10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 t="str">
        <f ca="1">IFERROR(__xludf.DUMMYFUNCTION("""COMPUTED_VALUE"""),"#N/A")</f>
        <v>#N/A</v>
      </c>
    </row>
    <row r="2315" spans="1:35" ht="12.75">
      <c r="A2315" s="6"/>
      <c r="B2315" s="6"/>
      <c r="C2315" s="6"/>
      <c r="D2315" s="10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 t="str">
        <f ca="1">IFERROR(__xludf.DUMMYFUNCTION("""COMPUTED_VALUE"""),"#N/A")</f>
        <v>#N/A</v>
      </c>
    </row>
    <row r="2316" spans="1:35" ht="12.75">
      <c r="A2316" s="6"/>
      <c r="B2316" s="6"/>
      <c r="C2316" s="6"/>
      <c r="D2316" s="10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 t="str">
        <f ca="1">IFERROR(__xludf.DUMMYFUNCTION("""COMPUTED_VALUE"""),"#N/A")</f>
        <v>#N/A</v>
      </c>
    </row>
    <row r="2317" spans="1:35" ht="12.75">
      <c r="A2317" s="6"/>
      <c r="B2317" s="6"/>
      <c r="C2317" s="6"/>
      <c r="D2317" s="10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 t="str">
        <f ca="1">IFERROR(__xludf.DUMMYFUNCTION("""COMPUTED_VALUE"""),"#N/A")</f>
        <v>#N/A</v>
      </c>
    </row>
    <row r="2318" spans="1:35" ht="12.75">
      <c r="A2318" s="6"/>
      <c r="B2318" s="6"/>
      <c r="C2318" s="6"/>
      <c r="D2318" s="10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 t="str">
        <f ca="1">IFERROR(__xludf.DUMMYFUNCTION("""COMPUTED_VALUE"""),"#N/A")</f>
        <v>#N/A</v>
      </c>
    </row>
    <row r="2319" spans="1:35" ht="12.75">
      <c r="A2319" s="6"/>
      <c r="B2319" s="6"/>
      <c r="C2319" s="6"/>
      <c r="D2319" s="10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 t="str">
        <f ca="1">IFERROR(__xludf.DUMMYFUNCTION("""COMPUTED_VALUE"""),"#N/A")</f>
        <v>#N/A</v>
      </c>
    </row>
    <row r="2320" spans="1:35" ht="12.75">
      <c r="A2320" s="6"/>
      <c r="B2320" s="6"/>
      <c r="C2320" s="6"/>
      <c r="D2320" s="10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 t="str">
        <f ca="1">IFERROR(__xludf.DUMMYFUNCTION("""COMPUTED_VALUE"""),"#N/A")</f>
        <v>#N/A</v>
      </c>
    </row>
    <row r="2321" spans="1:35" ht="12.75">
      <c r="A2321" s="6"/>
      <c r="B2321" s="6"/>
      <c r="C2321" s="6"/>
      <c r="D2321" s="10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 t="str">
        <f ca="1">IFERROR(__xludf.DUMMYFUNCTION("""COMPUTED_VALUE"""),"#N/A")</f>
        <v>#N/A</v>
      </c>
    </row>
    <row r="2322" spans="1:35" ht="12.75">
      <c r="A2322" s="6"/>
      <c r="B2322" s="6"/>
      <c r="C2322" s="6"/>
      <c r="D2322" s="10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 t="str">
        <f ca="1">IFERROR(__xludf.DUMMYFUNCTION("""COMPUTED_VALUE"""),"#N/A")</f>
        <v>#N/A</v>
      </c>
    </row>
    <row r="2323" spans="1:35" ht="12.75">
      <c r="A2323" s="6"/>
      <c r="B2323" s="6"/>
      <c r="C2323" s="6"/>
      <c r="D2323" s="10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 t="str">
        <f ca="1">IFERROR(__xludf.DUMMYFUNCTION("""COMPUTED_VALUE"""),"#N/A")</f>
        <v>#N/A</v>
      </c>
    </row>
    <row r="2324" spans="1:35" ht="12.75">
      <c r="A2324" s="6"/>
      <c r="B2324" s="6"/>
      <c r="C2324" s="6"/>
      <c r="D2324" s="10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 t="str">
        <f ca="1">IFERROR(__xludf.DUMMYFUNCTION("""COMPUTED_VALUE"""),"#N/A")</f>
        <v>#N/A</v>
      </c>
    </row>
    <row r="2325" spans="1:35" ht="12.75">
      <c r="A2325" s="6"/>
      <c r="B2325" s="6"/>
      <c r="C2325" s="6"/>
      <c r="D2325" s="10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 t="str">
        <f ca="1">IFERROR(__xludf.DUMMYFUNCTION("""COMPUTED_VALUE"""),"#N/A")</f>
        <v>#N/A</v>
      </c>
    </row>
    <row r="2326" spans="1:35" ht="12.75">
      <c r="A2326" s="6"/>
      <c r="B2326" s="6"/>
      <c r="C2326" s="6"/>
      <c r="D2326" s="10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 t="str">
        <f ca="1">IFERROR(__xludf.DUMMYFUNCTION("""COMPUTED_VALUE"""),"#N/A")</f>
        <v>#N/A</v>
      </c>
    </row>
    <row r="2327" spans="1:35" ht="12.75">
      <c r="A2327" s="6"/>
      <c r="B2327" s="6"/>
      <c r="C2327" s="6"/>
      <c r="D2327" s="10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 t="str">
        <f ca="1">IFERROR(__xludf.DUMMYFUNCTION("""COMPUTED_VALUE"""),"#N/A")</f>
        <v>#N/A</v>
      </c>
    </row>
    <row r="2328" spans="1:35" ht="12.75">
      <c r="A2328" s="6"/>
      <c r="B2328" s="6"/>
      <c r="C2328" s="6"/>
      <c r="D2328" s="10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 t="str">
        <f ca="1">IFERROR(__xludf.DUMMYFUNCTION("""COMPUTED_VALUE"""),"#N/A")</f>
        <v>#N/A</v>
      </c>
    </row>
    <row r="2329" spans="1:35" ht="12.75">
      <c r="A2329" s="6"/>
      <c r="B2329" s="6"/>
      <c r="C2329" s="6"/>
      <c r="D2329" s="10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 t="str">
        <f ca="1">IFERROR(__xludf.DUMMYFUNCTION("""COMPUTED_VALUE"""),"#N/A")</f>
        <v>#N/A</v>
      </c>
    </row>
    <row r="2330" spans="1:35" ht="12.75">
      <c r="A2330" s="6"/>
      <c r="B2330" s="6"/>
      <c r="C2330" s="6"/>
      <c r="D2330" s="10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 t="str">
        <f ca="1">IFERROR(__xludf.DUMMYFUNCTION("""COMPUTED_VALUE"""),"#N/A")</f>
        <v>#N/A</v>
      </c>
    </row>
    <row r="2331" spans="1:35" ht="12.75">
      <c r="A2331" s="6"/>
      <c r="B2331" s="6"/>
      <c r="C2331" s="6"/>
      <c r="D2331" s="10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 t="str">
        <f ca="1">IFERROR(__xludf.DUMMYFUNCTION("""COMPUTED_VALUE"""),"#N/A")</f>
        <v>#N/A</v>
      </c>
    </row>
    <row r="2332" spans="1:35" ht="12.75">
      <c r="A2332" s="6"/>
      <c r="B2332" s="6"/>
      <c r="C2332" s="6"/>
      <c r="D2332" s="10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 t="str">
        <f ca="1">IFERROR(__xludf.DUMMYFUNCTION("""COMPUTED_VALUE"""),"#N/A")</f>
        <v>#N/A</v>
      </c>
    </row>
    <row r="2333" spans="1:35" ht="12.75">
      <c r="A2333" s="6"/>
      <c r="B2333" s="6"/>
      <c r="C2333" s="6"/>
      <c r="D2333" s="10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 t="str">
        <f ca="1">IFERROR(__xludf.DUMMYFUNCTION("""COMPUTED_VALUE"""),"#N/A")</f>
        <v>#N/A</v>
      </c>
    </row>
    <row r="2334" spans="1:35" ht="12.75">
      <c r="A2334" s="6"/>
      <c r="B2334" s="6"/>
      <c r="C2334" s="6"/>
      <c r="D2334" s="10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 t="str">
        <f ca="1">IFERROR(__xludf.DUMMYFUNCTION("""COMPUTED_VALUE"""),"#N/A")</f>
        <v>#N/A</v>
      </c>
    </row>
    <row r="2335" spans="1:35" ht="12.75">
      <c r="A2335" s="6"/>
      <c r="B2335" s="6"/>
      <c r="C2335" s="6"/>
      <c r="D2335" s="10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 t="str">
        <f ca="1">IFERROR(__xludf.DUMMYFUNCTION("""COMPUTED_VALUE"""),"#N/A")</f>
        <v>#N/A</v>
      </c>
    </row>
    <row r="2336" spans="1:35" ht="12.75">
      <c r="A2336" s="6"/>
      <c r="B2336" s="6"/>
      <c r="C2336" s="6"/>
      <c r="D2336" s="10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 t="str">
        <f ca="1">IFERROR(__xludf.DUMMYFUNCTION("""COMPUTED_VALUE"""),"#N/A")</f>
        <v>#N/A</v>
      </c>
    </row>
    <row r="2337" spans="1:35" ht="12.75">
      <c r="A2337" s="6"/>
      <c r="B2337" s="6"/>
      <c r="C2337" s="6"/>
      <c r="D2337" s="10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 t="str">
        <f ca="1">IFERROR(__xludf.DUMMYFUNCTION("""COMPUTED_VALUE"""),"#N/A")</f>
        <v>#N/A</v>
      </c>
    </row>
    <row r="2338" spans="1:35" ht="12.75">
      <c r="A2338" s="6"/>
      <c r="B2338" s="6"/>
      <c r="C2338" s="6"/>
      <c r="D2338" s="10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 t="str">
        <f ca="1">IFERROR(__xludf.DUMMYFUNCTION("""COMPUTED_VALUE"""),"#N/A")</f>
        <v>#N/A</v>
      </c>
    </row>
    <row r="2339" spans="1:35" ht="12.75">
      <c r="A2339" s="6"/>
      <c r="B2339" s="6"/>
      <c r="C2339" s="6"/>
      <c r="D2339" s="10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 t="str">
        <f ca="1">IFERROR(__xludf.DUMMYFUNCTION("""COMPUTED_VALUE"""),"#N/A")</f>
        <v>#N/A</v>
      </c>
    </row>
    <row r="2340" spans="1:35" ht="12.75">
      <c r="A2340" s="6"/>
      <c r="B2340" s="6"/>
      <c r="C2340" s="6"/>
      <c r="D2340" s="10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 t="str">
        <f ca="1">IFERROR(__xludf.DUMMYFUNCTION("""COMPUTED_VALUE"""),"#N/A")</f>
        <v>#N/A</v>
      </c>
    </row>
    <row r="2341" spans="1:35" ht="12.75">
      <c r="A2341" s="6"/>
      <c r="B2341" s="6"/>
      <c r="C2341" s="6"/>
      <c r="D2341" s="10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 t="str">
        <f ca="1">IFERROR(__xludf.DUMMYFUNCTION("""COMPUTED_VALUE"""),"#N/A")</f>
        <v>#N/A</v>
      </c>
    </row>
    <row r="2342" spans="1:35" ht="12.75">
      <c r="A2342" s="6"/>
      <c r="B2342" s="6"/>
      <c r="C2342" s="6"/>
      <c r="D2342" s="10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 t="str">
        <f ca="1">IFERROR(__xludf.DUMMYFUNCTION("""COMPUTED_VALUE"""),"#N/A")</f>
        <v>#N/A</v>
      </c>
    </row>
    <row r="2343" spans="1:35" ht="12.75">
      <c r="A2343" s="6"/>
      <c r="B2343" s="6"/>
      <c r="C2343" s="6"/>
      <c r="D2343" s="10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 t="str">
        <f ca="1">IFERROR(__xludf.DUMMYFUNCTION("""COMPUTED_VALUE"""),"#N/A")</f>
        <v>#N/A</v>
      </c>
    </row>
    <row r="2344" spans="1:35" ht="12.75">
      <c r="A2344" s="6"/>
      <c r="B2344" s="6"/>
      <c r="C2344" s="6"/>
      <c r="D2344" s="10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 t="str">
        <f ca="1">IFERROR(__xludf.DUMMYFUNCTION("""COMPUTED_VALUE"""),"#N/A")</f>
        <v>#N/A</v>
      </c>
    </row>
    <row r="2345" spans="1:35" ht="12.75">
      <c r="A2345" s="6"/>
      <c r="B2345" s="6"/>
      <c r="C2345" s="6"/>
      <c r="D2345" s="10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 t="str">
        <f ca="1">IFERROR(__xludf.DUMMYFUNCTION("""COMPUTED_VALUE"""),"#N/A")</f>
        <v>#N/A</v>
      </c>
    </row>
    <row r="2346" spans="1:35" ht="12.75">
      <c r="A2346" s="6"/>
      <c r="B2346" s="6"/>
      <c r="C2346" s="6"/>
      <c r="D2346" s="10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 t="str">
        <f ca="1">IFERROR(__xludf.DUMMYFUNCTION("""COMPUTED_VALUE"""),"#N/A")</f>
        <v>#N/A</v>
      </c>
    </row>
    <row r="2347" spans="1:35" ht="12.75">
      <c r="A2347" s="6"/>
      <c r="B2347" s="6"/>
      <c r="C2347" s="6"/>
      <c r="D2347" s="10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 t="str">
        <f ca="1">IFERROR(__xludf.DUMMYFUNCTION("""COMPUTED_VALUE"""),"#N/A")</f>
        <v>#N/A</v>
      </c>
    </row>
    <row r="2348" spans="1:35" ht="12.75">
      <c r="A2348" s="6"/>
      <c r="B2348" s="6"/>
      <c r="C2348" s="6"/>
      <c r="D2348" s="10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 t="str">
        <f ca="1">IFERROR(__xludf.DUMMYFUNCTION("""COMPUTED_VALUE"""),"#N/A")</f>
        <v>#N/A</v>
      </c>
    </row>
    <row r="2349" spans="1:35" ht="12.75">
      <c r="A2349" s="6"/>
      <c r="B2349" s="6"/>
      <c r="C2349" s="6"/>
      <c r="D2349" s="10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 t="str">
        <f ca="1">IFERROR(__xludf.DUMMYFUNCTION("""COMPUTED_VALUE"""),"#N/A")</f>
        <v>#N/A</v>
      </c>
    </row>
    <row r="2350" spans="1:35" ht="12.75">
      <c r="A2350" s="6"/>
      <c r="B2350" s="6"/>
      <c r="C2350" s="6"/>
      <c r="D2350" s="10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 t="str">
        <f ca="1">IFERROR(__xludf.DUMMYFUNCTION("""COMPUTED_VALUE"""),"#N/A")</f>
        <v>#N/A</v>
      </c>
    </row>
    <row r="2351" spans="1:35" ht="12.75">
      <c r="A2351" s="6"/>
      <c r="B2351" s="6"/>
      <c r="C2351" s="6"/>
      <c r="D2351" s="10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 t="str">
        <f ca="1">IFERROR(__xludf.DUMMYFUNCTION("""COMPUTED_VALUE"""),"#N/A")</f>
        <v>#N/A</v>
      </c>
    </row>
    <row r="2352" spans="1:35" ht="12.75">
      <c r="A2352" s="6"/>
      <c r="B2352" s="6"/>
      <c r="C2352" s="6"/>
      <c r="D2352" s="10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 t="str">
        <f ca="1">IFERROR(__xludf.DUMMYFUNCTION("""COMPUTED_VALUE"""),"#N/A")</f>
        <v>#N/A</v>
      </c>
    </row>
    <row r="2353" spans="1:35" ht="12.75">
      <c r="A2353" s="6"/>
      <c r="B2353" s="6"/>
      <c r="C2353" s="6"/>
      <c r="D2353" s="10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 t="str">
        <f ca="1">IFERROR(__xludf.DUMMYFUNCTION("""COMPUTED_VALUE"""),"#N/A")</f>
        <v>#N/A</v>
      </c>
    </row>
    <row r="2354" spans="1:35" ht="12.75">
      <c r="A2354" s="6"/>
      <c r="B2354" s="6"/>
      <c r="C2354" s="6"/>
      <c r="D2354" s="10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 t="str">
        <f ca="1">IFERROR(__xludf.DUMMYFUNCTION("""COMPUTED_VALUE"""),"#N/A")</f>
        <v>#N/A</v>
      </c>
    </row>
    <row r="2355" spans="1:35" ht="12.75">
      <c r="A2355" s="6"/>
      <c r="B2355" s="6"/>
      <c r="C2355" s="6"/>
      <c r="D2355" s="10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 t="str">
        <f ca="1">IFERROR(__xludf.DUMMYFUNCTION("""COMPUTED_VALUE"""),"#N/A")</f>
        <v>#N/A</v>
      </c>
    </row>
    <row r="2356" spans="1:35" ht="12.75">
      <c r="A2356" s="6"/>
      <c r="B2356" s="6"/>
      <c r="C2356" s="6"/>
      <c r="D2356" s="10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 t="str">
        <f ca="1">IFERROR(__xludf.DUMMYFUNCTION("""COMPUTED_VALUE"""),"#N/A")</f>
        <v>#N/A</v>
      </c>
    </row>
    <row r="2357" spans="1:35" ht="12.75">
      <c r="A2357" s="6"/>
      <c r="B2357" s="6"/>
      <c r="C2357" s="6"/>
      <c r="D2357" s="10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 t="str">
        <f ca="1">IFERROR(__xludf.DUMMYFUNCTION("""COMPUTED_VALUE"""),"#N/A")</f>
        <v>#N/A</v>
      </c>
    </row>
    <row r="2358" spans="1:35" ht="12.75">
      <c r="A2358" s="6"/>
      <c r="B2358" s="6"/>
      <c r="C2358" s="6"/>
      <c r="D2358" s="10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 t="str">
        <f ca="1">IFERROR(__xludf.DUMMYFUNCTION("""COMPUTED_VALUE"""),"#N/A")</f>
        <v>#N/A</v>
      </c>
    </row>
    <row r="2359" spans="1:35" ht="12.75">
      <c r="A2359" s="6"/>
      <c r="B2359" s="6"/>
      <c r="C2359" s="6"/>
      <c r="D2359" s="10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 t="str">
        <f ca="1">IFERROR(__xludf.DUMMYFUNCTION("""COMPUTED_VALUE"""),"#N/A")</f>
        <v>#N/A</v>
      </c>
    </row>
    <row r="2360" spans="1:35" ht="12.75">
      <c r="A2360" s="6"/>
      <c r="B2360" s="6"/>
      <c r="C2360" s="6"/>
      <c r="D2360" s="10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 t="str">
        <f ca="1">IFERROR(__xludf.DUMMYFUNCTION("""COMPUTED_VALUE"""),"#N/A")</f>
        <v>#N/A</v>
      </c>
    </row>
    <row r="2361" spans="1:35" ht="12.75">
      <c r="A2361" s="6"/>
      <c r="B2361" s="6"/>
      <c r="C2361" s="6"/>
      <c r="D2361" s="10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 t="str">
        <f ca="1">IFERROR(__xludf.DUMMYFUNCTION("""COMPUTED_VALUE"""),"#N/A")</f>
        <v>#N/A</v>
      </c>
    </row>
    <row r="2362" spans="1:35" ht="12.75">
      <c r="A2362" s="6"/>
      <c r="B2362" s="6"/>
      <c r="C2362" s="6"/>
      <c r="D2362" s="10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 t="str">
        <f ca="1">IFERROR(__xludf.DUMMYFUNCTION("""COMPUTED_VALUE"""),"#N/A")</f>
        <v>#N/A</v>
      </c>
    </row>
    <row r="2363" spans="1:35" ht="12.75">
      <c r="A2363" s="6"/>
      <c r="B2363" s="6"/>
      <c r="C2363" s="6"/>
      <c r="D2363" s="10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 t="str">
        <f ca="1">IFERROR(__xludf.DUMMYFUNCTION("""COMPUTED_VALUE"""),"#N/A")</f>
        <v>#N/A</v>
      </c>
    </row>
    <row r="2364" spans="1:35" ht="12.75">
      <c r="A2364" s="6"/>
      <c r="B2364" s="6"/>
      <c r="C2364" s="6"/>
      <c r="D2364" s="10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 t="str">
        <f ca="1">IFERROR(__xludf.DUMMYFUNCTION("""COMPUTED_VALUE"""),"#N/A")</f>
        <v>#N/A</v>
      </c>
    </row>
    <row r="2365" spans="1:35" ht="12.75">
      <c r="A2365" s="6"/>
      <c r="B2365" s="6"/>
      <c r="C2365" s="6"/>
      <c r="D2365" s="10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 t="str">
        <f ca="1">IFERROR(__xludf.DUMMYFUNCTION("""COMPUTED_VALUE"""),"#N/A")</f>
        <v>#N/A</v>
      </c>
    </row>
    <row r="2366" spans="1:35" ht="12.75">
      <c r="A2366" s="6"/>
      <c r="B2366" s="6"/>
      <c r="C2366" s="6"/>
      <c r="D2366" s="10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 t="str">
        <f ca="1">IFERROR(__xludf.DUMMYFUNCTION("""COMPUTED_VALUE"""),"#N/A")</f>
        <v>#N/A</v>
      </c>
    </row>
    <row r="2367" spans="1:35" ht="12.75">
      <c r="A2367" s="6"/>
      <c r="B2367" s="6"/>
      <c r="C2367" s="6"/>
      <c r="D2367" s="10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 t="str">
        <f ca="1">IFERROR(__xludf.DUMMYFUNCTION("""COMPUTED_VALUE"""),"#N/A")</f>
        <v>#N/A</v>
      </c>
    </row>
    <row r="2368" spans="1:35" ht="12.75">
      <c r="A2368" s="6"/>
      <c r="B2368" s="6"/>
      <c r="C2368" s="6"/>
      <c r="D2368" s="10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 t="str">
        <f ca="1">IFERROR(__xludf.DUMMYFUNCTION("""COMPUTED_VALUE"""),"#N/A")</f>
        <v>#N/A</v>
      </c>
    </row>
    <row r="2369" spans="1:35" ht="12.75">
      <c r="A2369" s="6"/>
      <c r="B2369" s="6"/>
      <c r="C2369" s="6"/>
      <c r="D2369" s="10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 t="str">
        <f ca="1">IFERROR(__xludf.DUMMYFUNCTION("""COMPUTED_VALUE"""),"#N/A")</f>
        <v>#N/A</v>
      </c>
    </row>
    <row r="2370" spans="1:35" ht="12.75">
      <c r="A2370" s="6"/>
      <c r="B2370" s="6"/>
      <c r="C2370" s="6"/>
      <c r="D2370" s="10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 t="str">
        <f ca="1">IFERROR(__xludf.DUMMYFUNCTION("""COMPUTED_VALUE"""),"#N/A")</f>
        <v>#N/A</v>
      </c>
    </row>
    <row r="2371" spans="1:35" ht="12.75">
      <c r="A2371" s="6"/>
      <c r="B2371" s="6"/>
      <c r="C2371" s="6"/>
      <c r="D2371" s="10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 t="str">
        <f ca="1">IFERROR(__xludf.DUMMYFUNCTION("""COMPUTED_VALUE"""),"#N/A")</f>
        <v>#N/A</v>
      </c>
    </row>
    <row r="2372" spans="1:35" ht="12.75">
      <c r="A2372" s="6"/>
      <c r="B2372" s="6"/>
      <c r="C2372" s="6"/>
      <c r="D2372" s="10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 t="str">
        <f ca="1">IFERROR(__xludf.DUMMYFUNCTION("""COMPUTED_VALUE"""),"#N/A")</f>
        <v>#N/A</v>
      </c>
    </row>
    <row r="2373" spans="1:35" ht="12.75">
      <c r="A2373" s="6"/>
      <c r="B2373" s="6"/>
      <c r="C2373" s="6"/>
      <c r="D2373" s="10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 t="str">
        <f ca="1">IFERROR(__xludf.DUMMYFUNCTION("""COMPUTED_VALUE"""),"#N/A")</f>
        <v>#N/A</v>
      </c>
    </row>
    <row r="2374" spans="1:35" ht="12.75">
      <c r="A2374" s="6"/>
      <c r="B2374" s="6"/>
      <c r="C2374" s="6"/>
      <c r="D2374" s="10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 t="str">
        <f ca="1">IFERROR(__xludf.DUMMYFUNCTION("""COMPUTED_VALUE"""),"#N/A")</f>
        <v>#N/A</v>
      </c>
    </row>
    <row r="2375" spans="1:35" ht="12.75">
      <c r="A2375" s="6"/>
      <c r="B2375" s="6"/>
      <c r="C2375" s="6"/>
      <c r="D2375" s="10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 t="str">
        <f ca="1">IFERROR(__xludf.DUMMYFUNCTION("""COMPUTED_VALUE"""),"#N/A")</f>
        <v>#N/A</v>
      </c>
    </row>
    <row r="2376" spans="1:35" ht="12.75">
      <c r="A2376" s="6"/>
      <c r="B2376" s="6"/>
      <c r="C2376" s="6"/>
      <c r="D2376" s="10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 t="str">
        <f ca="1">IFERROR(__xludf.DUMMYFUNCTION("""COMPUTED_VALUE"""),"#N/A")</f>
        <v>#N/A</v>
      </c>
    </row>
    <row r="2377" spans="1:35" ht="12.75">
      <c r="A2377" s="6"/>
      <c r="B2377" s="6"/>
      <c r="C2377" s="6"/>
      <c r="D2377" s="10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 t="str">
        <f ca="1">IFERROR(__xludf.DUMMYFUNCTION("""COMPUTED_VALUE"""),"#N/A")</f>
        <v>#N/A</v>
      </c>
    </row>
    <row r="2378" spans="1:35" ht="12.75">
      <c r="A2378" s="6"/>
      <c r="B2378" s="6"/>
      <c r="C2378" s="6"/>
      <c r="D2378" s="10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 t="str">
        <f ca="1">IFERROR(__xludf.DUMMYFUNCTION("""COMPUTED_VALUE"""),"#N/A")</f>
        <v>#N/A</v>
      </c>
    </row>
    <row r="2379" spans="1:35" ht="12.75">
      <c r="A2379" s="6"/>
      <c r="B2379" s="6"/>
      <c r="C2379" s="6"/>
      <c r="D2379" s="10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 t="str">
        <f ca="1">IFERROR(__xludf.DUMMYFUNCTION("""COMPUTED_VALUE"""),"#N/A")</f>
        <v>#N/A</v>
      </c>
    </row>
    <row r="2380" spans="1:35" ht="12.75">
      <c r="A2380" s="6"/>
      <c r="B2380" s="6"/>
      <c r="C2380" s="6"/>
      <c r="D2380" s="10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 t="str">
        <f ca="1">IFERROR(__xludf.DUMMYFUNCTION("""COMPUTED_VALUE"""),"#N/A")</f>
        <v>#N/A</v>
      </c>
    </row>
    <row r="2381" spans="1:35" ht="12.75">
      <c r="A2381" s="6"/>
      <c r="B2381" s="6"/>
      <c r="C2381" s="6"/>
      <c r="D2381" s="10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 t="str">
        <f ca="1">IFERROR(__xludf.DUMMYFUNCTION("""COMPUTED_VALUE"""),"#N/A")</f>
        <v>#N/A</v>
      </c>
    </row>
    <row r="2382" spans="1:35" ht="12.75">
      <c r="A2382" s="6"/>
      <c r="B2382" s="6"/>
      <c r="C2382" s="6"/>
      <c r="D2382" s="10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 t="str">
        <f ca="1">IFERROR(__xludf.DUMMYFUNCTION("""COMPUTED_VALUE"""),"#N/A")</f>
        <v>#N/A</v>
      </c>
    </row>
    <row r="2383" spans="1:35" ht="12.75">
      <c r="A2383" s="6"/>
      <c r="B2383" s="6"/>
      <c r="C2383" s="6"/>
      <c r="D2383" s="10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 t="str">
        <f ca="1">IFERROR(__xludf.DUMMYFUNCTION("""COMPUTED_VALUE"""),"#N/A")</f>
        <v>#N/A</v>
      </c>
    </row>
    <row r="2384" spans="1:35" ht="12.75">
      <c r="A2384" s="6"/>
      <c r="B2384" s="6"/>
      <c r="C2384" s="6"/>
      <c r="D2384" s="10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 t="str">
        <f ca="1">IFERROR(__xludf.DUMMYFUNCTION("""COMPUTED_VALUE"""),"#N/A")</f>
        <v>#N/A</v>
      </c>
    </row>
    <row r="2385" spans="1:35" ht="12.75">
      <c r="A2385" s="6"/>
      <c r="B2385" s="6"/>
      <c r="C2385" s="6"/>
      <c r="D2385" s="10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 t="str">
        <f ca="1">IFERROR(__xludf.DUMMYFUNCTION("""COMPUTED_VALUE"""),"#N/A")</f>
        <v>#N/A</v>
      </c>
    </row>
    <row r="2386" spans="1:35" ht="12.75">
      <c r="A2386" s="6"/>
      <c r="B2386" s="6"/>
      <c r="C2386" s="6"/>
      <c r="D2386" s="10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 t="str">
        <f ca="1">IFERROR(__xludf.DUMMYFUNCTION("""COMPUTED_VALUE"""),"#N/A")</f>
        <v>#N/A</v>
      </c>
    </row>
    <row r="2387" spans="1:35" ht="12.75">
      <c r="A2387" s="6"/>
      <c r="B2387" s="6"/>
      <c r="C2387" s="6"/>
      <c r="D2387" s="10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 t="str">
        <f ca="1">IFERROR(__xludf.DUMMYFUNCTION("""COMPUTED_VALUE"""),"#N/A")</f>
        <v>#N/A</v>
      </c>
    </row>
    <row r="2388" spans="1:35" ht="12.75">
      <c r="A2388" s="6"/>
      <c r="B2388" s="6"/>
      <c r="C2388" s="6"/>
      <c r="D2388" s="10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 t="str">
        <f ca="1">IFERROR(__xludf.DUMMYFUNCTION("""COMPUTED_VALUE"""),"#N/A")</f>
        <v>#N/A</v>
      </c>
    </row>
    <row r="2389" spans="1:35" ht="12.75">
      <c r="A2389" s="6"/>
      <c r="B2389" s="6"/>
      <c r="C2389" s="6"/>
      <c r="D2389" s="10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 t="str">
        <f ca="1">IFERROR(__xludf.DUMMYFUNCTION("""COMPUTED_VALUE"""),"#N/A")</f>
        <v>#N/A</v>
      </c>
    </row>
    <row r="2390" spans="1:35" ht="12.75">
      <c r="A2390" s="6"/>
      <c r="B2390" s="6"/>
      <c r="C2390" s="6"/>
      <c r="D2390" s="10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 t="str">
        <f ca="1">IFERROR(__xludf.DUMMYFUNCTION("""COMPUTED_VALUE"""),"#N/A")</f>
        <v>#N/A</v>
      </c>
    </row>
    <row r="2391" spans="1:35" ht="12.75">
      <c r="A2391" s="6"/>
      <c r="B2391" s="6"/>
      <c r="C2391" s="6"/>
      <c r="D2391" s="10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 t="str">
        <f ca="1">IFERROR(__xludf.DUMMYFUNCTION("""COMPUTED_VALUE"""),"#N/A")</f>
        <v>#N/A</v>
      </c>
    </row>
    <row r="2392" spans="1:35" ht="12.75">
      <c r="A2392" s="6"/>
      <c r="B2392" s="6"/>
      <c r="C2392" s="6"/>
      <c r="D2392" s="10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 t="str">
        <f ca="1">IFERROR(__xludf.DUMMYFUNCTION("""COMPUTED_VALUE"""),"#N/A")</f>
        <v>#N/A</v>
      </c>
    </row>
    <row r="2393" spans="1:35" ht="12.75">
      <c r="A2393" s="6"/>
      <c r="B2393" s="6"/>
      <c r="C2393" s="6"/>
      <c r="D2393" s="10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 t="str">
        <f ca="1">IFERROR(__xludf.DUMMYFUNCTION("""COMPUTED_VALUE"""),"#N/A")</f>
        <v>#N/A</v>
      </c>
    </row>
    <row r="2394" spans="1:35" ht="12.75">
      <c r="A2394" s="6"/>
      <c r="B2394" s="6"/>
      <c r="C2394" s="6"/>
      <c r="D2394" s="10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 t="str">
        <f ca="1">IFERROR(__xludf.DUMMYFUNCTION("""COMPUTED_VALUE"""),"#N/A")</f>
        <v>#N/A</v>
      </c>
    </row>
    <row r="2395" spans="1:35" ht="12.75">
      <c r="A2395" s="6"/>
      <c r="B2395" s="6"/>
      <c r="C2395" s="6"/>
      <c r="D2395" s="10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 t="str">
        <f ca="1">IFERROR(__xludf.DUMMYFUNCTION("""COMPUTED_VALUE"""),"#N/A")</f>
        <v>#N/A</v>
      </c>
    </row>
    <row r="2396" spans="1:35" ht="12.75">
      <c r="A2396" s="6"/>
      <c r="B2396" s="6"/>
      <c r="C2396" s="6"/>
      <c r="D2396" s="10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 t="str">
        <f ca="1">IFERROR(__xludf.DUMMYFUNCTION("""COMPUTED_VALUE"""),"#N/A")</f>
        <v>#N/A</v>
      </c>
    </row>
    <row r="2397" spans="1:35" ht="12.75">
      <c r="A2397" s="6"/>
      <c r="B2397" s="6"/>
      <c r="C2397" s="6"/>
      <c r="D2397" s="10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 t="str">
        <f ca="1">IFERROR(__xludf.DUMMYFUNCTION("""COMPUTED_VALUE"""),"#N/A")</f>
        <v>#N/A</v>
      </c>
    </row>
    <row r="2398" spans="1:35" ht="12.75">
      <c r="A2398" s="6"/>
      <c r="B2398" s="6"/>
      <c r="C2398" s="6"/>
      <c r="D2398" s="10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 t="str">
        <f ca="1">IFERROR(__xludf.DUMMYFUNCTION("""COMPUTED_VALUE"""),"#N/A")</f>
        <v>#N/A</v>
      </c>
    </row>
    <row r="2399" spans="1:35" ht="12.75">
      <c r="A2399" s="6"/>
      <c r="B2399" s="6"/>
      <c r="C2399" s="6"/>
      <c r="D2399" s="10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 t="str">
        <f ca="1">IFERROR(__xludf.DUMMYFUNCTION("""COMPUTED_VALUE"""),"#N/A")</f>
        <v>#N/A</v>
      </c>
    </row>
    <row r="2400" spans="1:35" ht="12.75">
      <c r="A2400" s="6"/>
      <c r="B2400" s="6"/>
      <c r="C2400" s="6"/>
      <c r="D2400" s="10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 t="str">
        <f ca="1">IFERROR(__xludf.DUMMYFUNCTION("""COMPUTED_VALUE"""),"#N/A")</f>
        <v>#N/A</v>
      </c>
    </row>
    <row r="2401" spans="1:35" ht="12.75">
      <c r="A2401" s="6"/>
      <c r="B2401" s="6"/>
      <c r="C2401" s="6"/>
      <c r="D2401" s="10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 t="str">
        <f ca="1">IFERROR(__xludf.DUMMYFUNCTION("""COMPUTED_VALUE"""),"#N/A")</f>
        <v>#N/A</v>
      </c>
    </row>
    <row r="2402" spans="1:35" ht="12.75">
      <c r="A2402" s="6"/>
      <c r="B2402" s="6"/>
      <c r="C2402" s="6"/>
      <c r="D2402" s="10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 t="str">
        <f ca="1">IFERROR(__xludf.DUMMYFUNCTION("""COMPUTED_VALUE"""),"#N/A")</f>
        <v>#N/A</v>
      </c>
    </row>
    <row r="2403" spans="1:35" ht="12.75">
      <c r="A2403" s="6"/>
      <c r="B2403" s="6"/>
      <c r="C2403" s="6"/>
      <c r="D2403" s="10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 t="str">
        <f ca="1">IFERROR(__xludf.DUMMYFUNCTION("""COMPUTED_VALUE"""),"#N/A")</f>
        <v>#N/A</v>
      </c>
    </row>
    <row r="2404" spans="1:35" ht="12.75">
      <c r="A2404" s="6"/>
      <c r="B2404" s="6"/>
      <c r="C2404" s="6"/>
      <c r="D2404" s="10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 t="str">
        <f ca="1">IFERROR(__xludf.DUMMYFUNCTION("""COMPUTED_VALUE"""),"#N/A")</f>
        <v>#N/A</v>
      </c>
    </row>
    <row r="2405" spans="1:35" ht="12.75">
      <c r="A2405" s="6"/>
      <c r="B2405" s="6"/>
      <c r="C2405" s="6"/>
      <c r="D2405" s="10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 t="str">
        <f ca="1">IFERROR(__xludf.DUMMYFUNCTION("""COMPUTED_VALUE"""),"#N/A")</f>
        <v>#N/A</v>
      </c>
    </row>
    <row r="2406" spans="1:35" ht="12.75">
      <c r="A2406" s="6"/>
      <c r="B2406" s="6"/>
      <c r="C2406" s="6"/>
      <c r="D2406" s="10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 t="str">
        <f ca="1">IFERROR(__xludf.DUMMYFUNCTION("""COMPUTED_VALUE"""),"#N/A")</f>
        <v>#N/A</v>
      </c>
    </row>
    <row r="2407" spans="1:35" ht="12.75">
      <c r="A2407" s="6"/>
      <c r="B2407" s="6"/>
      <c r="C2407" s="6"/>
      <c r="D2407" s="10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 t="str">
        <f ca="1">IFERROR(__xludf.DUMMYFUNCTION("""COMPUTED_VALUE"""),"#N/A")</f>
        <v>#N/A</v>
      </c>
    </row>
    <row r="2408" spans="1:35" ht="12.75">
      <c r="A2408" s="6"/>
      <c r="B2408" s="6"/>
      <c r="C2408" s="6"/>
      <c r="D2408" s="10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 t="str">
        <f ca="1">IFERROR(__xludf.DUMMYFUNCTION("""COMPUTED_VALUE"""),"#N/A")</f>
        <v>#N/A</v>
      </c>
    </row>
    <row r="2409" spans="1:35" ht="12.75">
      <c r="A2409" s="6"/>
      <c r="B2409" s="6"/>
      <c r="C2409" s="6"/>
      <c r="D2409" s="10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 t="str">
        <f ca="1">IFERROR(__xludf.DUMMYFUNCTION("""COMPUTED_VALUE"""),"#N/A")</f>
        <v>#N/A</v>
      </c>
    </row>
    <row r="2410" spans="1:35" ht="12.75">
      <c r="A2410" s="6"/>
      <c r="B2410" s="6"/>
      <c r="C2410" s="6"/>
      <c r="D2410" s="10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 t="str">
        <f ca="1">IFERROR(__xludf.DUMMYFUNCTION("""COMPUTED_VALUE"""),"#N/A")</f>
        <v>#N/A</v>
      </c>
    </row>
    <row r="2411" spans="1:35" ht="12.75">
      <c r="A2411" s="6"/>
      <c r="B2411" s="6"/>
      <c r="C2411" s="6"/>
      <c r="D2411" s="10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 t="str">
        <f ca="1">IFERROR(__xludf.DUMMYFUNCTION("""COMPUTED_VALUE"""),"#N/A")</f>
        <v>#N/A</v>
      </c>
    </row>
    <row r="2412" spans="1:35" ht="12.75">
      <c r="A2412" s="6"/>
      <c r="B2412" s="6"/>
      <c r="C2412" s="6"/>
      <c r="D2412" s="10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 t="str">
        <f ca="1">IFERROR(__xludf.DUMMYFUNCTION("""COMPUTED_VALUE"""),"#N/A")</f>
        <v>#N/A</v>
      </c>
    </row>
    <row r="2413" spans="1:35" ht="12.75">
      <c r="A2413" s="6"/>
      <c r="B2413" s="6"/>
      <c r="C2413" s="6"/>
      <c r="D2413" s="10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 t="str">
        <f ca="1">IFERROR(__xludf.DUMMYFUNCTION("""COMPUTED_VALUE"""),"#N/A")</f>
        <v>#N/A</v>
      </c>
    </row>
    <row r="2414" spans="1:35" ht="12.75">
      <c r="A2414" s="6"/>
      <c r="B2414" s="6"/>
      <c r="C2414" s="6"/>
      <c r="D2414" s="10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 t="str">
        <f ca="1">IFERROR(__xludf.DUMMYFUNCTION("""COMPUTED_VALUE"""),"#N/A")</f>
        <v>#N/A</v>
      </c>
    </row>
    <row r="2415" spans="1:35" ht="12.75">
      <c r="A2415" s="6"/>
      <c r="B2415" s="6"/>
      <c r="C2415" s="6"/>
      <c r="D2415" s="10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 t="str">
        <f ca="1">IFERROR(__xludf.DUMMYFUNCTION("""COMPUTED_VALUE"""),"#N/A")</f>
        <v>#N/A</v>
      </c>
    </row>
    <row r="2416" spans="1:35" ht="12.75">
      <c r="A2416" s="6"/>
      <c r="B2416" s="6"/>
      <c r="C2416" s="6"/>
      <c r="D2416" s="10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 t="str">
        <f ca="1">IFERROR(__xludf.DUMMYFUNCTION("""COMPUTED_VALUE"""),"#N/A")</f>
        <v>#N/A</v>
      </c>
    </row>
    <row r="2417" spans="1:35" ht="12.75">
      <c r="A2417" s="6"/>
      <c r="B2417" s="6"/>
      <c r="C2417" s="6"/>
      <c r="D2417" s="10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 t="str">
        <f ca="1">IFERROR(__xludf.DUMMYFUNCTION("""COMPUTED_VALUE"""),"#N/A")</f>
        <v>#N/A</v>
      </c>
    </row>
    <row r="2418" spans="1:35" ht="12.75">
      <c r="A2418" s="6"/>
      <c r="B2418" s="6"/>
      <c r="C2418" s="6"/>
      <c r="D2418" s="10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 t="str">
        <f ca="1">IFERROR(__xludf.DUMMYFUNCTION("""COMPUTED_VALUE"""),"#N/A")</f>
        <v>#N/A</v>
      </c>
    </row>
    <row r="2419" spans="1:35" ht="12.75">
      <c r="A2419" s="6"/>
      <c r="B2419" s="6"/>
      <c r="C2419" s="6"/>
      <c r="D2419" s="10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 t="str">
        <f ca="1">IFERROR(__xludf.DUMMYFUNCTION("""COMPUTED_VALUE"""),"#N/A")</f>
        <v>#N/A</v>
      </c>
    </row>
    <row r="2420" spans="1:35" ht="12.75">
      <c r="A2420" s="6"/>
      <c r="B2420" s="6"/>
      <c r="C2420" s="6"/>
      <c r="D2420" s="10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 t="str">
        <f ca="1">IFERROR(__xludf.DUMMYFUNCTION("""COMPUTED_VALUE"""),"#N/A")</f>
        <v>#N/A</v>
      </c>
    </row>
    <row r="2421" spans="1:35" ht="12.75">
      <c r="A2421" s="6"/>
      <c r="B2421" s="6"/>
      <c r="C2421" s="6"/>
      <c r="D2421" s="10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 t="str">
        <f ca="1">IFERROR(__xludf.DUMMYFUNCTION("""COMPUTED_VALUE"""),"#N/A")</f>
        <v>#N/A</v>
      </c>
    </row>
    <row r="2422" spans="1:35" ht="12.75">
      <c r="A2422" s="6"/>
      <c r="B2422" s="6"/>
      <c r="C2422" s="6"/>
      <c r="D2422" s="10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 t="str">
        <f ca="1">IFERROR(__xludf.DUMMYFUNCTION("""COMPUTED_VALUE"""),"#N/A")</f>
        <v>#N/A</v>
      </c>
    </row>
    <row r="2423" spans="1:35" ht="12.75">
      <c r="A2423" s="6"/>
      <c r="B2423" s="6"/>
      <c r="C2423" s="6"/>
      <c r="D2423" s="10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 t="str">
        <f ca="1">IFERROR(__xludf.DUMMYFUNCTION("""COMPUTED_VALUE"""),"#N/A")</f>
        <v>#N/A</v>
      </c>
    </row>
    <row r="2424" spans="1:35" ht="12.75">
      <c r="A2424" s="6"/>
      <c r="B2424" s="6"/>
      <c r="C2424" s="6"/>
      <c r="D2424" s="10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 t="str">
        <f ca="1">IFERROR(__xludf.DUMMYFUNCTION("""COMPUTED_VALUE"""),"#N/A")</f>
        <v>#N/A</v>
      </c>
    </row>
    <row r="2425" spans="1:35" ht="12.75">
      <c r="A2425" s="6"/>
      <c r="B2425" s="6"/>
      <c r="C2425" s="6"/>
      <c r="D2425" s="10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 t="str">
        <f ca="1">IFERROR(__xludf.DUMMYFUNCTION("""COMPUTED_VALUE"""),"#N/A")</f>
        <v>#N/A</v>
      </c>
    </row>
    <row r="2426" spans="1:35" ht="12.75">
      <c r="A2426" s="6"/>
      <c r="B2426" s="6"/>
      <c r="C2426" s="6"/>
      <c r="D2426" s="10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 t="str">
        <f ca="1">IFERROR(__xludf.DUMMYFUNCTION("""COMPUTED_VALUE"""),"#N/A")</f>
        <v>#N/A</v>
      </c>
    </row>
    <row r="2427" spans="1:35" ht="12.75">
      <c r="A2427" s="6"/>
      <c r="B2427" s="6"/>
      <c r="C2427" s="6"/>
      <c r="D2427" s="10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 t="str">
        <f ca="1">IFERROR(__xludf.DUMMYFUNCTION("""COMPUTED_VALUE"""),"#N/A")</f>
        <v>#N/A</v>
      </c>
    </row>
    <row r="2428" spans="1:35" ht="12.75">
      <c r="A2428" s="6"/>
      <c r="B2428" s="6"/>
      <c r="C2428" s="6"/>
      <c r="D2428" s="10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 t="str">
        <f ca="1">IFERROR(__xludf.DUMMYFUNCTION("""COMPUTED_VALUE"""),"#N/A")</f>
        <v>#N/A</v>
      </c>
    </row>
    <row r="2429" spans="1:35" ht="12.75">
      <c r="A2429" s="6"/>
      <c r="B2429" s="6"/>
      <c r="C2429" s="6"/>
      <c r="D2429" s="10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 t="str">
        <f ca="1">IFERROR(__xludf.DUMMYFUNCTION("""COMPUTED_VALUE"""),"#N/A")</f>
        <v>#N/A</v>
      </c>
    </row>
    <row r="2430" spans="1:35" ht="12.75">
      <c r="A2430" s="6"/>
      <c r="B2430" s="6"/>
      <c r="C2430" s="6"/>
      <c r="D2430" s="10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 t="str">
        <f ca="1">IFERROR(__xludf.DUMMYFUNCTION("""COMPUTED_VALUE"""),"#N/A")</f>
        <v>#N/A</v>
      </c>
    </row>
    <row r="2431" spans="1:35" ht="12.75">
      <c r="A2431" s="6"/>
      <c r="B2431" s="6"/>
      <c r="C2431" s="6"/>
      <c r="D2431" s="10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 t="str">
        <f ca="1">IFERROR(__xludf.DUMMYFUNCTION("""COMPUTED_VALUE"""),"#N/A")</f>
        <v>#N/A</v>
      </c>
    </row>
    <row r="2432" spans="1:35" ht="12.75">
      <c r="A2432" s="6"/>
      <c r="B2432" s="6"/>
      <c r="C2432" s="6"/>
      <c r="D2432" s="10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 t="str">
        <f ca="1">IFERROR(__xludf.DUMMYFUNCTION("""COMPUTED_VALUE"""),"#N/A")</f>
        <v>#N/A</v>
      </c>
    </row>
    <row r="2433" spans="1:35" ht="12.75">
      <c r="A2433" s="6"/>
      <c r="B2433" s="6"/>
      <c r="C2433" s="6"/>
      <c r="D2433" s="10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 t="str">
        <f ca="1">IFERROR(__xludf.DUMMYFUNCTION("""COMPUTED_VALUE"""),"#N/A")</f>
        <v>#N/A</v>
      </c>
    </row>
    <row r="2434" spans="1:35" ht="12.75">
      <c r="A2434" s="6"/>
      <c r="B2434" s="6"/>
      <c r="C2434" s="6"/>
      <c r="D2434" s="10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 t="str">
        <f ca="1">IFERROR(__xludf.DUMMYFUNCTION("""COMPUTED_VALUE"""),"#N/A")</f>
        <v>#N/A</v>
      </c>
    </row>
    <row r="2435" spans="1:35" ht="12.75">
      <c r="A2435" s="6"/>
      <c r="B2435" s="6"/>
      <c r="C2435" s="6"/>
      <c r="D2435" s="10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 t="str">
        <f ca="1">IFERROR(__xludf.DUMMYFUNCTION("""COMPUTED_VALUE"""),"#N/A")</f>
        <v>#N/A</v>
      </c>
    </row>
    <row r="2436" spans="1:35" ht="12.75">
      <c r="A2436" s="6"/>
      <c r="B2436" s="6"/>
      <c r="C2436" s="6"/>
      <c r="D2436" s="10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 t="str">
        <f ca="1">IFERROR(__xludf.DUMMYFUNCTION("""COMPUTED_VALUE"""),"#N/A")</f>
        <v>#N/A</v>
      </c>
    </row>
    <row r="2437" spans="1:35" ht="12.75">
      <c r="A2437" s="6"/>
      <c r="B2437" s="6"/>
      <c r="C2437" s="6"/>
      <c r="D2437" s="10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 t="str">
        <f ca="1">IFERROR(__xludf.DUMMYFUNCTION("""COMPUTED_VALUE"""),"#N/A")</f>
        <v>#N/A</v>
      </c>
    </row>
    <row r="2438" spans="1:35" ht="12.75">
      <c r="A2438" s="6"/>
      <c r="B2438" s="6"/>
      <c r="C2438" s="6"/>
      <c r="D2438" s="10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 t="str">
        <f ca="1">IFERROR(__xludf.DUMMYFUNCTION("""COMPUTED_VALUE"""),"#N/A")</f>
        <v>#N/A</v>
      </c>
    </row>
    <row r="2439" spans="1:35" ht="12.75">
      <c r="A2439" s="6"/>
      <c r="B2439" s="6"/>
      <c r="C2439" s="6"/>
      <c r="D2439" s="10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 t="str">
        <f ca="1">IFERROR(__xludf.DUMMYFUNCTION("""COMPUTED_VALUE"""),"#N/A")</f>
        <v>#N/A</v>
      </c>
    </row>
    <row r="2440" spans="1:35" ht="12.75">
      <c r="A2440" s="6"/>
      <c r="B2440" s="6"/>
      <c r="C2440" s="6"/>
      <c r="D2440" s="10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 t="str">
        <f ca="1">IFERROR(__xludf.DUMMYFUNCTION("""COMPUTED_VALUE"""),"#N/A")</f>
        <v>#N/A</v>
      </c>
    </row>
    <row r="2441" spans="1:35" ht="12.75">
      <c r="A2441" s="6"/>
      <c r="B2441" s="6"/>
      <c r="C2441" s="6"/>
      <c r="D2441" s="10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 t="str">
        <f ca="1">IFERROR(__xludf.DUMMYFUNCTION("""COMPUTED_VALUE"""),"#N/A")</f>
        <v>#N/A</v>
      </c>
    </row>
    <row r="2442" spans="1:35" ht="12.75">
      <c r="A2442" s="6"/>
      <c r="B2442" s="6"/>
      <c r="C2442" s="6"/>
      <c r="D2442" s="10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 t="str">
        <f ca="1">IFERROR(__xludf.DUMMYFUNCTION("""COMPUTED_VALUE"""),"#N/A")</f>
        <v>#N/A</v>
      </c>
    </row>
    <row r="2443" spans="1:35" ht="12.75">
      <c r="A2443" s="6"/>
      <c r="B2443" s="6"/>
      <c r="C2443" s="6"/>
      <c r="D2443" s="10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 t="str">
        <f ca="1">IFERROR(__xludf.DUMMYFUNCTION("""COMPUTED_VALUE"""),"#N/A")</f>
        <v>#N/A</v>
      </c>
    </row>
    <row r="2444" spans="1:35" ht="12.75">
      <c r="A2444" s="6"/>
      <c r="B2444" s="6"/>
      <c r="C2444" s="6"/>
      <c r="D2444" s="10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 t="str">
        <f ca="1">IFERROR(__xludf.DUMMYFUNCTION("""COMPUTED_VALUE"""),"#N/A")</f>
        <v>#N/A</v>
      </c>
    </row>
    <row r="2445" spans="1:35" ht="12.75">
      <c r="A2445" s="6"/>
      <c r="B2445" s="6"/>
      <c r="C2445" s="6"/>
      <c r="D2445" s="10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 t="str">
        <f ca="1">IFERROR(__xludf.DUMMYFUNCTION("""COMPUTED_VALUE"""),"#N/A")</f>
        <v>#N/A</v>
      </c>
    </row>
    <row r="2446" spans="1:35" ht="12.75">
      <c r="A2446" s="6"/>
      <c r="B2446" s="6"/>
      <c r="C2446" s="6"/>
      <c r="D2446" s="10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 t="str">
        <f ca="1">IFERROR(__xludf.DUMMYFUNCTION("""COMPUTED_VALUE"""),"#N/A")</f>
        <v>#N/A</v>
      </c>
    </row>
    <row r="2447" spans="1:35" ht="12.75">
      <c r="A2447" s="6"/>
      <c r="B2447" s="6"/>
      <c r="C2447" s="6"/>
      <c r="D2447" s="10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 t="str">
        <f ca="1">IFERROR(__xludf.DUMMYFUNCTION("""COMPUTED_VALUE"""),"#N/A")</f>
        <v>#N/A</v>
      </c>
    </row>
    <row r="2448" spans="1:35" ht="12.75">
      <c r="A2448" s="6"/>
      <c r="B2448" s="6"/>
      <c r="C2448" s="6"/>
      <c r="D2448" s="10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 t="str">
        <f ca="1">IFERROR(__xludf.DUMMYFUNCTION("""COMPUTED_VALUE"""),"#N/A")</f>
        <v>#N/A</v>
      </c>
    </row>
    <row r="2449" spans="1:35" ht="12.75">
      <c r="A2449" s="6"/>
      <c r="B2449" s="6"/>
      <c r="C2449" s="6"/>
      <c r="D2449" s="10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 t="str">
        <f ca="1">IFERROR(__xludf.DUMMYFUNCTION("""COMPUTED_VALUE"""),"#N/A")</f>
        <v>#N/A</v>
      </c>
    </row>
    <row r="2450" spans="1:35" ht="12.75">
      <c r="A2450" s="6"/>
      <c r="B2450" s="6"/>
      <c r="C2450" s="6"/>
      <c r="D2450" s="10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 t="str">
        <f ca="1">IFERROR(__xludf.DUMMYFUNCTION("""COMPUTED_VALUE"""),"#N/A")</f>
        <v>#N/A</v>
      </c>
    </row>
    <row r="2451" spans="1:35" ht="12.75">
      <c r="A2451" s="6"/>
      <c r="B2451" s="6"/>
      <c r="C2451" s="6"/>
      <c r="D2451" s="10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 t="str">
        <f ca="1">IFERROR(__xludf.DUMMYFUNCTION("""COMPUTED_VALUE"""),"#N/A")</f>
        <v>#N/A</v>
      </c>
    </row>
    <row r="2452" spans="1:35" ht="12.75">
      <c r="A2452" s="6"/>
      <c r="B2452" s="6"/>
      <c r="C2452" s="6"/>
      <c r="D2452" s="10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 t="str">
        <f ca="1">IFERROR(__xludf.DUMMYFUNCTION("""COMPUTED_VALUE"""),"#N/A")</f>
        <v>#N/A</v>
      </c>
    </row>
    <row r="2453" spans="1:35" ht="12.75">
      <c r="A2453" s="6"/>
      <c r="B2453" s="6"/>
      <c r="C2453" s="6"/>
      <c r="D2453" s="10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 t="str">
        <f ca="1">IFERROR(__xludf.DUMMYFUNCTION("""COMPUTED_VALUE"""),"#N/A")</f>
        <v>#N/A</v>
      </c>
    </row>
    <row r="2454" spans="1:35" ht="12.75">
      <c r="A2454" s="6"/>
      <c r="B2454" s="6"/>
      <c r="C2454" s="6"/>
      <c r="D2454" s="10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 t="str">
        <f ca="1">IFERROR(__xludf.DUMMYFUNCTION("""COMPUTED_VALUE"""),"#N/A")</f>
        <v>#N/A</v>
      </c>
    </row>
    <row r="2455" spans="1:35" ht="12.75">
      <c r="A2455" s="6"/>
      <c r="B2455" s="6"/>
      <c r="C2455" s="6"/>
      <c r="D2455" s="10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 t="str">
        <f ca="1">IFERROR(__xludf.DUMMYFUNCTION("""COMPUTED_VALUE"""),"#N/A")</f>
        <v>#N/A</v>
      </c>
    </row>
    <row r="2456" spans="1:35" ht="12.75">
      <c r="A2456" s="6"/>
      <c r="B2456" s="6"/>
      <c r="C2456" s="6"/>
      <c r="D2456" s="10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 t="str">
        <f ca="1">IFERROR(__xludf.DUMMYFUNCTION("""COMPUTED_VALUE"""),"#N/A")</f>
        <v>#N/A</v>
      </c>
    </row>
    <row r="2457" spans="1:35" ht="12.75">
      <c r="A2457" s="6"/>
      <c r="B2457" s="6"/>
      <c r="C2457" s="6"/>
      <c r="D2457" s="10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 t="str">
        <f ca="1">IFERROR(__xludf.DUMMYFUNCTION("""COMPUTED_VALUE"""),"#N/A")</f>
        <v>#N/A</v>
      </c>
    </row>
    <row r="2458" spans="1:35" ht="12.75">
      <c r="A2458" s="6"/>
      <c r="B2458" s="6"/>
      <c r="C2458" s="6"/>
      <c r="D2458" s="10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 t="str">
        <f ca="1">IFERROR(__xludf.DUMMYFUNCTION("""COMPUTED_VALUE"""),"#N/A")</f>
        <v>#N/A</v>
      </c>
    </row>
    <row r="2459" spans="1:35" ht="12.75">
      <c r="A2459" s="6"/>
      <c r="B2459" s="6"/>
      <c r="C2459" s="6"/>
      <c r="D2459" s="10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 t="str">
        <f ca="1">IFERROR(__xludf.DUMMYFUNCTION("""COMPUTED_VALUE"""),"#N/A")</f>
        <v>#N/A</v>
      </c>
    </row>
    <row r="2460" spans="1:35" ht="12.75">
      <c r="A2460" s="6"/>
      <c r="B2460" s="6"/>
      <c r="C2460" s="6"/>
      <c r="D2460" s="10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 t="str">
        <f ca="1">IFERROR(__xludf.DUMMYFUNCTION("""COMPUTED_VALUE"""),"#N/A")</f>
        <v>#N/A</v>
      </c>
    </row>
    <row r="2461" spans="1:35" ht="12.75">
      <c r="A2461" s="6"/>
      <c r="B2461" s="6"/>
      <c r="C2461" s="6"/>
      <c r="D2461" s="10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 t="str">
        <f ca="1">IFERROR(__xludf.DUMMYFUNCTION("""COMPUTED_VALUE"""),"#N/A")</f>
        <v>#N/A</v>
      </c>
    </row>
    <row r="2462" spans="1:35" ht="12.75">
      <c r="A2462" s="6"/>
      <c r="B2462" s="6"/>
      <c r="C2462" s="6"/>
      <c r="D2462" s="10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 t="str">
        <f ca="1">IFERROR(__xludf.DUMMYFUNCTION("""COMPUTED_VALUE"""),"#N/A")</f>
        <v>#N/A</v>
      </c>
    </row>
    <row r="2463" spans="1:35" ht="12.75">
      <c r="A2463" s="6"/>
      <c r="B2463" s="6"/>
      <c r="C2463" s="6"/>
      <c r="D2463" s="10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 t="str">
        <f ca="1">IFERROR(__xludf.DUMMYFUNCTION("""COMPUTED_VALUE"""),"#N/A")</f>
        <v>#N/A</v>
      </c>
    </row>
    <row r="2464" spans="1:35" ht="12.75">
      <c r="A2464" s="6"/>
      <c r="B2464" s="6"/>
      <c r="C2464" s="6"/>
      <c r="D2464" s="10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 t="str">
        <f ca="1">IFERROR(__xludf.DUMMYFUNCTION("""COMPUTED_VALUE"""),"#N/A")</f>
        <v>#N/A</v>
      </c>
    </row>
    <row r="2465" spans="1:35" ht="12.75">
      <c r="A2465" s="6"/>
      <c r="B2465" s="6"/>
      <c r="C2465" s="6"/>
      <c r="D2465" s="10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 t="str">
        <f ca="1">IFERROR(__xludf.DUMMYFUNCTION("""COMPUTED_VALUE"""),"#N/A")</f>
        <v>#N/A</v>
      </c>
    </row>
    <row r="2466" spans="1:35" ht="12.75">
      <c r="A2466" s="6"/>
      <c r="B2466" s="6"/>
      <c r="C2466" s="6"/>
      <c r="D2466" s="10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 t="str">
        <f ca="1">IFERROR(__xludf.DUMMYFUNCTION("""COMPUTED_VALUE"""),"#N/A")</f>
        <v>#N/A</v>
      </c>
    </row>
    <row r="2467" spans="1:35" ht="12.75">
      <c r="A2467" s="6"/>
      <c r="B2467" s="6"/>
      <c r="C2467" s="6"/>
      <c r="D2467" s="10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 t="str">
        <f ca="1">IFERROR(__xludf.DUMMYFUNCTION("""COMPUTED_VALUE"""),"#N/A")</f>
        <v>#N/A</v>
      </c>
    </row>
    <row r="2468" spans="1:35" ht="12.75">
      <c r="A2468" s="6"/>
      <c r="B2468" s="6"/>
      <c r="C2468" s="6"/>
      <c r="D2468" s="10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 t="str">
        <f ca="1">IFERROR(__xludf.DUMMYFUNCTION("""COMPUTED_VALUE"""),"#N/A")</f>
        <v>#N/A</v>
      </c>
    </row>
    <row r="2469" spans="1:35" ht="12.75">
      <c r="A2469" s="6"/>
      <c r="B2469" s="6"/>
      <c r="C2469" s="6"/>
      <c r="D2469" s="10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 t="str">
        <f ca="1">IFERROR(__xludf.DUMMYFUNCTION("""COMPUTED_VALUE"""),"#N/A")</f>
        <v>#N/A</v>
      </c>
    </row>
    <row r="2470" spans="1:35" ht="12.75">
      <c r="A2470" s="6"/>
      <c r="B2470" s="6"/>
      <c r="C2470" s="6"/>
      <c r="D2470" s="10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 t="str">
        <f ca="1">IFERROR(__xludf.DUMMYFUNCTION("""COMPUTED_VALUE"""),"#N/A")</f>
        <v>#N/A</v>
      </c>
    </row>
    <row r="2471" spans="1:35" ht="12.75">
      <c r="A2471" s="6"/>
      <c r="B2471" s="6"/>
      <c r="C2471" s="6"/>
      <c r="D2471" s="10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 t="str">
        <f ca="1">IFERROR(__xludf.DUMMYFUNCTION("""COMPUTED_VALUE"""),"#N/A")</f>
        <v>#N/A</v>
      </c>
    </row>
    <row r="2472" spans="1:35" ht="12.75">
      <c r="A2472" s="6"/>
      <c r="B2472" s="6"/>
      <c r="C2472" s="6"/>
      <c r="D2472" s="10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 t="str">
        <f ca="1">IFERROR(__xludf.DUMMYFUNCTION("""COMPUTED_VALUE"""),"#N/A")</f>
        <v>#N/A</v>
      </c>
    </row>
    <row r="2473" spans="1:35" ht="12.75">
      <c r="A2473" s="6"/>
      <c r="B2473" s="6"/>
      <c r="C2473" s="6"/>
      <c r="D2473" s="10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 t="str">
        <f ca="1">IFERROR(__xludf.DUMMYFUNCTION("""COMPUTED_VALUE"""),"#N/A")</f>
        <v>#N/A</v>
      </c>
    </row>
    <row r="2474" spans="1:35" ht="12.75">
      <c r="A2474" s="6"/>
      <c r="B2474" s="6"/>
      <c r="C2474" s="6"/>
      <c r="D2474" s="10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 t="str">
        <f ca="1">IFERROR(__xludf.DUMMYFUNCTION("""COMPUTED_VALUE"""),"#N/A")</f>
        <v>#N/A</v>
      </c>
    </row>
    <row r="2475" spans="1:35" ht="12.75">
      <c r="A2475" s="6"/>
      <c r="B2475" s="6"/>
      <c r="C2475" s="6"/>
      <c r="D2475" s="10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 t="str">
        <f ca="1">IFERROR(__xludf.DUMMYFUNCTION("""COMPUTED_VALUE"""),"#N/A")</f>
        <v>#N/A</v>
      </c>
    </row>
    <row r="2476" spans="1:35" ht="12.75">
      <c r="A2476" s="6"/>
      <c r="B2476" s="6"/>
      <c r="C2476" s="6"/>
      <c r="D2476" s="10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 t="str">
        <f ca="1">IFERROR(__xludf.DUMMYFUNCTION("""COMPUTED_VALUE"""),"#N/A")</f>
        <v>#N/A</v>
      </c>
    </row>
    <row r="2477" spans="1:35" ht="12.75">
      <c r="A2477" s="6"/>
      <c r="B2477" s="6"/>
      <c r="C2477" s="6"/>
      <c r="D2477" s="10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 t="str">
        <f ca="1">IFERROR(__xludf.DUMMYFUNCTION("""COMPUTED_VALUE"""),"#N/A")</f>
        <v>#N/A</v>
      </c>
    </row>
    <row r="2478" spans="1:35" ht="12.75">
      <c r="A2478" s="6"/>
      <c r="B2478" s="6"/>
      <c r="C2478" s="6"/>
      <c r="D2478" s="10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 t="str">
        <f ca="1">IFERROR(__xludf.DUMMYFUNCTION("""COMPUTED_VALUE"""),"#N/A")</f>
        <v>#N/A</v>
      </c>
    </row>
    <row r="2479" spans="1:35" ht="12.75">
      <c r="A2479" s="6"/>
      <c r="B2479" s="6"/>
      <c r="C2479" s="6"/>
      <c r="D2479" s="10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 t="str">
        <f ca="1">IFERROR(__xludf.DUMMYFUNCTION("""COMPUTED_VALUE"""),"#N/A")</f>
        <v>#N/A</v>
      </c>
    </row>
    <row r="2480" spans="1:35" ht="12.75">
      <c r="A2480" s="6"/>
      <c r="B2480" s="6"/>
      <c r="C2480" s="6"/>
      <c r="D2480" s="10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 t="str">
        <f ca="1">IFERROR(__xludf.DUMMYFUNCTION("""COMPUTED_VALUE"""),"#N/A")</f>
        <v>#N/A</v>
      </c>
    </row>
    <row r="2481" spans="1:35" ht="12.75">
      <c r="A2481" s="6"/>
      <c r="B2481" s="6"/>
      <c r="C2481" s="6"/>
      <c r="D2481" s="10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 t="str">
        <f ca="1">IFERROR(__xludf.DUMMYFUNCTION("""COMPUTED_VALUE"""),"#N/A")</f>
        <v>#N/A</v>
      </c>
    </row>
    <row r="2482" spans="1:35" ht="12.75">
      <c r="A2482" s="6"/>
      <c r="B2482" s="6"/>
      <c r="C2482" s="6"/>
      <c r="D2482" s="10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 t="str">
        <f ca="1">IFERROR(__xludf.DUMMYFUNCTION("""COMPUTED_VALUE"""),"#N/A")</f>
        <v>#N/A</v>
      </c>
    </row>
    <row r="2483" spans="1:35" ht="12.75">
      <c r="A2483" s="6"/>
      <c r="B2483" s="6"/>
      <c r="C2483" s="6"/>
      <c r="D2483" s="10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 t="str">
        <f ca="1">IFERROR(__xludf.DUMMYFUNCTION("""COMPUTED_VALUE"""),"#N/A")</f>
        <v>#N/A</v>
      </c>
    </row>
    <row r="2484" spans="1:35" ht="12.75">
      <c r="A2484" s="6"/>
      <c r="B2484" s="6"/>
      <c r="C2484" s="6"/>
      <c r="D2484" s="10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 t="str">
        <f ca="1">IFERROR(__xludf.DUMMYFUNCTION("""COMPUTED_VALUE"""),"#N/A")</f>
        <v>#N/A</v>
      </c>
    </row>
    <row r="2485" spans="1:35" ht="12.75">
      <c r="A2485" s="6"/>
      <c r="B2485" s="6"/>
      <c r="C2485" s="6"/>
      <c r="D2485" s="10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 t="str">
        <f ca="1">IFERROR(__xludf.DUMMYFUNCTION("""COMPUTED_VALUE"""),"#N/A")</f>
        <v>#N/A</v>
      </c>
    </row>
    <row r="2486" spans="1:35" ht="12.75">
      <c r="A2486" s="6"/>
      <c r="B2486" s="6"/>
      <c r="C2486" s="6"/>
      <c r="D2486" s="10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 t="str">
        <f ca="1">IFERROR(__xludf.DUMMYFUNCTION("""COMPUTED_VALUE"""),"#N/A")</f>
        <v>#N/A</v>
      </c>
    </row>
    <row r="2487" spans="1:35" ht="12.75">
      <c r="A2487" s="6"/>
      <c r="B2487" s="6"/>
      <c r="C2487" s="6"/>
      <c r="D2487" s="10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 t="str">
        <f ca="1">IFERROR(__xludf.DUMMYFUNCTION("""COMPUTED_VALUE"""),"#N/A")</f>
        <v>#N/A</v>
      </c>
    </row>
    <row r="2488" spans="1:35" ht="12.75">
      <c r="A2488" s="6"/>
      <c r="B2488" s="6"/>
      <c r="C2488" s="6"/>
      <c r="D2488" s="10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 t="str">
        <f ca="1">IFERROR(__xludf.DUMMYFUNCTION("""COMPUTED_VALUE"""),"#N/A")</f>
        <v>#N/A</v>
      </c>
    </row>
    <row r="2489" spans="1:35" ht="12.75">
      <c r="A2489" s="6"/>
      <c r="B2489" s="6"/>
      <c r="C2489" s="6"/>
      <c r="D2489" s="10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 t="str">
        <f ca="1">IFERROR(__xludf.DUMMYFUNCTION("""COMPUTED_VALUE"""),"#N/A")</f>
        <v>#N/A</v>
      </c>
    </row>
    <row r="2490" spans="1:35" ht="12.75">
      <c r="A2490" s="6"/>
      <c r="B2490" s="6"/>
      <c r="C2490" s="6"/>
      <c r="D2490" s="10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 t="str">
        <f ca="1">IFERROR(__xludf.DUMMYFUNCTION("""COMPUTED_VALUE"""),"#N/A")</f>
        <v>#N/A</v>
      </c>
    </row>
    <row r="2491" spans="1:35" ht="12.75">
      <c r="A2491" s="6"/>
      <c r="B2491" s="6"/>
      <c r="C2491" s="6"/>
      <c r="D2491" s="10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 t="str">
        <f ca="1">IFERROR(__xludf.DUMMYFUNCTION("""COMPUTED_VALUE"""),"#N/A")</f>
        <v>#N/A</v>
      </c>
    </row>
    <row r="2492" spans="1:35" ht="12.75">
      <c r="A2492" s="6"/>
      <c r="B2492" s="6"/>
      <c r="C2492" s="6"/>
      <c r="D2492" s="10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 t="str">
        <f ca="1">IFERROR(__xludf.DUMMYFUNCTION("""COMPUTED_VALUE"""),"#N/A")</f>
        <v>#N/A</v>
      </c>
    </row>
    <row r="2493" spans="1:35" ht="12.75">
      <c r="A2493" s="6"/>
      <c r="B2493" s="6"/>
      <c r="C2493" s="6"/>
      <c r="D2493" s="10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 t="str">
        <f ca="1">IFERROR(__xludf.DUMMYFUNCTION("""COMPUTED_VALUE"""),"#N/A")</f>
        <v>#N/A</v>
      </c>
    </row>
    <row r="2494" spans="1:35" ht="12.75">
      <c r="A2494" s="6"/>
      <c r="B2494" s="6"/>
      <c r="C2494" s="6"/>
      <c r="D2494" s="10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 t="str">
        <f ca="1">IFERROR(__xludf.DUMMYFUNCTION("""COMPUTED_VALUE"""),"#N/A")</f>
        <v>#N/A</v>
      </c>
    </row>
    <row r="2495" spans="1:35" ht="12.75">
      <c r="A2495" s="6"/>
      <c r="B2495" s="6"/>
      <c r="C2495" s="6"/>
      <c r="D2495" s="10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 t="str">
        <f ca="1">IFERROR(__xludf.DUMMYFUNCTION("""COMPUTED_VALUE"""),"#N/A")</f>
        <v>#N/A</v>
      </c>
    </row>
    <row r="2496" spans="1:35" ht="12.75">
      <c r="A2496" s="6"/>
      <c r="B2496" s="6"/>
      <c r="C2496" s="6"/>
      <c r="D2496" s="10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 t="str">
        <f ca="1">IFERROR(__xludf.DUMMYFUNCTION("""COMPUTED_VALUE"""),"#N/A")</f>
        <v>#N/A</v>
      </c>
    </row>
    <row r="2497" spans="1:35" ht="12.75">
      <c r="A2497" s="6"/>
      <c r="B2497" s="6"/>
      <c r="C2497" s="6"/>
      <c r="D2497" s="10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 t="str">
        <f ca="1">IFERROR(__xludf.DUMMYFUNCTION("""COMPUTED_VALUE"""),"#N/A")</f>
        <v>#N/A</v>
      </c>
    </row>
    <row r="2498" spans="1:35" ht="12.75">
      <c r="A2498" s="6"/>
      <c r="B2498" s="6"/>
      <c r="C2498" s="6"/>
      <c r="D2498" s="10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 t="str">
        <f ca="1">IFERROR(__xludf.DUMMYFUNCTION("""COMPUTED_VALUE"""),"#N/A")</f>
        <v>#N/A</v>
      </c>
    </row>
    <row r="2499" spans="1:35" ht="12.75">
      <c r="A2499" s="6"/>
      <c r="B2499" s="6"/>
      <c r="C2499" s="6"/>
      <c r="D2499" s="10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 t="str">
        <f ca="1">IFERROR(__xludf.DUMMYFUNCTION("""COMPUTED_VALUE"""),"#N/A")</f>
        <v>#N/A</v>
      </c>
    </row>
    <row r="2500" spans="1:35" ht="12.75">
      <c r="A2500" s="6"/>
      <c r="B2500" s="6"/>
      <c r="C2500" s="6"/>
      <c r="D2500" s="10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 t="str">
        <f ca="1">IFERROR(__xludf.DUMMYFUNCTION("""COMPUTED_VALUE"""),"#N/A")</f>
        <v>#N/A</v>
      </c>
    </row>
    <row r="2501" spans="1:35" ht="12.75">
      <c r="A2501" s="6"/>
      <c r="B2501" s="6"/>
      <c r="C2501" s="6"/>
      <c r="D2501" s="10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 t="str">
        <f ca="1">IFERROR(__xludf.DUMMYFUNCTION("""COMPUTED_VALUE"""),"#N/A")</f>
        <v>#N/A</v>
      </c>
    </row>
    <row r="2502" spans="1:35" ht="12.75">
      <c r="A2502" s="6"/>
      <c r="B2502" s="6"/>
      <c r="C2502" s="6"/>
      <c r="D2502" s="10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 t="str">
        <f ca="1">IFERROR(__xludf.DUMMYFUNCTION("""COMPUTED_VALUE"""),"#N/A")</f>
        <v>#N/A</v>
      </c>
    </row>
    <row r="2503" spans="1:35" ht="12.75">
      <c r="A2503" s="6"/>
      <c r="B2503" s="6"/>
      <c r="C2503" s="6"/>
      <c r="D2503" s="10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 t="str">
        <f ca="1">IFERROR(__xludf.DUMMYFUNCTION("""COMPUTED_VALUE"""),"#N/A")</f>
        <v>#N/A</v>
      </c>
    </row>
    <row r="2504" spans="1:35" ht="12.75">
      <c r="A2504" s="6"/>
      <c r="B2504" s="6"/>
      <c r="C2504" s="6"/>
      <c r="D2504" s="10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 t="str">
        <f ca="1">IFERROR(__xludf.DUMMYFUNCTION("""COMPUTED_VALUE"""),"#N/A")</f>
        <v>#N/A</v>
      </c>
    </row>
    <row r="2505" spans="1:35" ht="12.75">
      <c r="A2505" s="6"/>
      <c r="B2505" s="6"/>
      <c r="C2505" s="6"/>
      <c r="D2505" s="10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 t="str">
        <f ca="1">IFERROR(__xludf.DUMMYFUNCTION("""COMPUTED_VALUE"""),"#N/A")</f>
        <v>#N/A</v>
      </c>
    </row>
    <row r="2506" spans="1:35" ht="12.75">
      <c r="A2506" s="6"/>
      <c r="B2506" s="6"/>
      <c r="C2506" s="6"/>
      <c r="D2506" s="10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 t="str">
        <f ca="1">IFERROR(__xludf.DUMMYFUNCTION("""COMPUTED_VALUE"""),"#N/A")</f>
        <v>#N/A</v>
      </c>
    </row>
    <row r="2507" spans="1:35" ht="12.75">
      <c r="A2507" s="6"/>
      <c r="B2507" s="6"/>
      <c r="C2507" s="6"/>
      <c r="D2507" s="10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 t="str">
        <f ca="1">IFERROR(__xludf.DUMMYFUNCTION("""COMPUTED_VALUE"""),"#N/A")</f>
        <v>#N/A</v>
      </c>
    </row>
    <row r="2508" spans="1:35" ht="12.75">
      <c r="A2508" s="6"/>
      <c r="B2508" s="6"/>
      <c r="C2508" s="6"/>
      <c r="D2508" s="10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 t="str">
        <f ca="1">IFERROR(__xludf.DUMMYFUNCTION("""COMPUTED_VALUE"""),"#N/A")</f>
        <v>#N/A</v>
      </c>
    </row>
    <row r="2509" spans="1:35" ht="12.75">
      <c r="A2509" s="6"/>
      <c r="B2509" s="6"/>
      <c r="C2509" s="6"/>
      <c r="D2509" s="10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 t="str">
        <f ca="1">IFERROR(__xludf.DUMMYFUNCTION("""COMPUTED_VALUE"""),"#N/A")</f>
        <v>#N/A</v>
      </c>
    </row>
    <row r="2510" spans="1:35" ht="12.75">
      <c r="A2510" s="6"/>
      <c r="B2510" s="6"/>
      <c r="C2510" s="6"/>
      <c r="D2510" s="10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 t="str">
        <f ca="1">IFERROR(__xludf.DUMMYFUNCTION("""COMPUTED_VALUE"""),"#N/A")</f>
        <v>#N/A</v>
      </c>
    </row>
    <row r="2511" spans="1:35" ht="12.75">
      <c r="A2511" s="6"/>
      <c r="B2511" s="6"/>
      <c r="C2511" s="6"/>
      <c r="D2511" s="10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 t="str">
        <f ca="1">IFERROR(__xludf.DUMMYFUNCTION("""COMPUTED_VALUE"""),"#N/A")</f>
        <v>#N/A</v>
      </c>
    </row>
    <row r="2512" spans="1:35" ht="12.75">
      <c r="A2512" s="6"/>
      <c r="B2512" s="6"/>
      <c r="C2512" s="6"/>
      <c r="D2512" s="10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 t="str">
        <f ca="1">IFERROR(__xludf.DUMMYFUNCTION("""COMPUTED_VALUE"""),"#N/A")</f>
        <v>#N/A</v>
      </c>
    </row>
    <row r="2513" spans="1:35" ht="12.75">
      <c r="A2513" s="6"/>
      <c r="B2513" s="6"/>
      <c r="C2513" s="6"/>
      <c r="D2513" s="10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 t="str">
        <f ca="1">IFERROR(__xludf.DUMMYFUNCTION("""COMPUTED_VALUE"""),"#N/A")</f>
        <v>#N/A</v>
      </c>
    </row>
    <row r="2514" spans="1:35" ht="12.75">
      <c r="A2514" s="6"/>
      <c r="B2514" s="6"/>
      <c r="C2514" s="6"/>
      <c r="D2514" s="10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 t="str">
        <f ca="1">IFERROR(__xludf.DUMMYFUNCTION("""COMPUTED_VALUE"""),"#N/A")</f>
        <v>#N/A</v>
      </c>
    </row>
    <row r="2515" spans="1:35" ht="12.75">
      <c r="A2515" s="6"/>
      <c r="B2515" s="6"/>
      <c r="C2515" s="6"/>
      <c r="D2515" s="10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 t="str">
        <f ca="1">IFERROR(__xludf.DUMMYFUNCTION("""COMPUTED_VALUE"""),"#N/A")</f>
        <v>#N/A</v>
      </c>
    </row>
    <row r="2516" spans="1:35" ht="12.75">
      <c r="A2516" s="6"/>
      <c r="B2516" s="6"/>
      <c r="C2516" s="6"/>
      <c r="D2516" s="10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 t="str">
        <f ca="1">IFERROR(__xludf.DUMMYFUNCTION("""COMPUTED_VALUE"""),"#N/A")</f>
        <v>#N/A</v>
      </c>
    </row>
    <row r="2517" spans="1:35" ht="12.75">
      <c r="A2517" s="6"/>
      <c r="B2517" s="6"/>
      <c r="C2517" s="6"/>
      <c r="D2517" s="10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 t="str">
        <f ca="1">IFERROR(__xludf.DUMMYFUNCTION("""COMPUTED_VALUE"""),"#N/A")</f>
        <v>#N/A</v>
      </c>
    </row>
    <row r="2518" spans="1:35" ht="12.75">
      <c r="A2518" s="6"/>
      <c r="B2518" s="6"/>
      <c r="C2518" s="6"/>
      <c r="D2518" s="10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 t="str">
        <f ca="1">IFERROR(__xludf.DUMMYFUNCTION("""COMPUTED_VALUE"""),"#N/A")</f>
        <v>#N/A</v>
      </c>
    </row>
    <row r="2519" spans="1:35" ht="12.75">
      <c r="A2519" s="6"/>
      <c r="B2519" s="6"/>
      <c r="C2519" s="6"/>
      <c r="D2519" s="10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 t="str">
        <f ca="1">IFERROR(__xludf.DUMMYFUNCTION("""COMPUTED_VALUE"""),"#N/A")</f>
        <v>#N/A</v>
      </c>
    </row>
    <row r="2520" spans="1:35" ht="12.75">
      <c r="A2520" s="6"/>
      <c r="B2520" s="6"/>
      <c r="C2520" s="6"/>
      <c r="D2520" s="10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 t="str">
        <f ca="1">IFERROR(__xludf.DUMMYFUNCTION("""COMPUTED_VALUE"""),"#N/A")</f>
        <v>#N/A</v>
      </c>
    </row>
    <row r="2521" spans="1:35" ht="12.75">
      <c r="A2521" s="6"/>
      <c r="B2521" s="6"/>
      <c r="C2521" s="6"/>
      <c r="D2521" s="10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 t="str">
        <f ca="1">IFERROR(__xludf.DUMMYFUNCTION("""COMPUTED_VALUE"""),"#N/A")</f>
        <v>#N/A</v>
      </c>
    </row>
    <row r="2522" spans="1:35" ht="12.75">
      <c r="A2522" s="6"/>
      <c r="B2522" s="6"/>
      <c r="C2522" s="6"/>
      <c r="D2522" s="10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 t="str">
        <f ca="1">IFERROR(__xludf.DUMMYFUNCTION("""COMPUTED_VALUE"""),"#N/A")</f>
        <v>#N/A</v>
      </c>
    </row>
    <row r="2523" spans="1:35" ht="12.75">
      <c r="A2523" s="6"/>
      <c r="B2523" s="6"/>
      <c r="C2523" s="6"/>
      <c r="D2523" s="10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 t="str">
        <f ca="1">IFERROR(__xludf.DUMMYFUNCTION("""COMPUTED_VALUE"""),"#N/A")</f>
        <v>#N/A</v>
      </c>
    </row>
    <row r="2524" spans="1:35" ht="12.75">
      <c r="A2524" s="6"/>
      <c r="B2524" s="6"/>
      <c r="C2524" s="6"/>
      <c r="D2524" s="10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 t="str">
        <f ca="1">IFERROR(__xludf.DUMMYFUNCTION("""COMPUTED_VALUE"""),"#N/A")</f>
        <v>#N/A</v>
      </c>
    </row>
    <row r="2525" spans="1:35" ht="12.75">
      <c r="A2525" s="6"/>
      <c r="B2525" s="6"/>
      <c r="C2525" s="6"/>
      <c r="D2525" s="10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 t="str">
        <f ca="1">IFERROR(__xludf.DUMMYFUNCTION("""COMPUTED_VALUE"""),"#N/A")</f>
        <v>#N/A</v>
      </c>
    </row>
    <row r="2526" spans="1:35" ht="12.75">
      <c r="A2526" s="6"/>
      <c r="B2526" s="6"/>
      <c r="C2526" s="6"/>
      <c r="D2526" s="10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 t="str">
        <f ca="1">IFERROR(__xludf.DUMMYFUNCTION("""COMPUTED_VALUE"""),"#N/A")</f>
        <v>#N/A</v>
      </c>
    </row>
    <row r="2527" spans="1:35" ht="12.75">
      <c r="A2527" s="6"/>
      <c r="B2527" s="6"/>
      <c r="C2527" s="6"/>
      <c r="D2527" s="10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 t="str">
        <f ca="1">IFERROR(__xludf.DUMMYFUNCTION("""COMPUTED_VALUE"""),"#N/A")</f>
        <v>#N/A</v>
      </c>
    </row>
    <row r="2528" spans="1:35" ht="12.75">
      <c r="A2528" s="6"/>
      <c r="B2528" s="6"/>
      <c r="C2528" s="6"/>
      <c r="D2528" s="10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 t="str">
        <f ca="1">IFERROR(__xludf.DUMMYFUNCTION("""COMPUTED_VALUE"""),"#N/A")</f>
        <v>#N/A</v>
      </c>
    </row>
    <row r="2529" spans="1:35" ht="12.75">
      <c r="A2529" s="6"/>
      <c r="B2529" s="6"/>
      <c r="C2529" s="6"/>
      <c r="D2529" s="10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 t="str">
        <f ca="1">IFERROR(__xludf.DUMMYFUNCTION("""COMPUTED_VALUE"""),"#N/A")</f>
        <v>#N/A</v>
      </c>
    </row>
    <row r="2530" spans="1:35" ht="12.75">
      <c r="A2530" s="6"/>
      <c r="B2530" s="6"/>
      <c r="C2530" s="6"/>
      <c r="D2530" s="10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 t="str">
        <f ca="1">IFERROR(__xludf.DUMMYFUNCTION("""COMPUTED_VALUE"""),"#N/A")</f>
        <v>#N/A</v>
      </c>
    </row>
    <row r="2531" spans="1:35" ht="12.75">
      <c r="A2531" s="6"/>
      <c r="B2531" s="6"/>
      <c r="C2531" s="6"/>
      <c r="D2531" s="10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 t="str">
        <f ca="1">IFERROR(__xludf.DUMMYFUNCTION("""COMPUTED_VALUE"""),"#N/A")</f>
        <v>#N/A</v>
      </c>
    </row>
    <row r="2532" spans="1:35" ht="12.75">
      <c r="A2532" s="6"/>
      <c r="B2532" s="6"/>
      <c r="C2532" s="6"/>
      <c r="D2532" s="10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 t="str">
        <f ca="1">IFERROR(__xludf.DUMMYFUNCTION("""COMPUTED_VALUE"""),"#N/A")</f>
        <v>#N/A</v>
      </c>
    </row>
    <row r="2533" spans="1:35" ht="12.75">
      <c r="A2533" s="6"/>
      <c r="B2533" s="6"/>
      <c r="C2533" s="6"/>
      <c r="D2533" s="10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 t="str">
        <f ca="1">IFERROR(__xludf.DUMMYFUNCTION("""COMPUTED_VALUE"""),"#N/A")</f>
        <v>#N/A</v>
      </c>
    </row>
    <row r="2534" spans="1:35" ht="12.75">
      <c r="A2534" s="6"/>
      <c r="B2534" s="6"/>
      <c r="C2534" s="6"/>
      <c r="D2534" s="10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 t="str">
        <f ca="1">IFERROR(__xludf.DUMMYFUNCTION("""COMPUTED_VALUE"""),"#N/A")</f>
        <v>#N/A</v>
      </c>
    </row>
    <row r="2535" spans="1:35" ht="12.75">
      <c r="A2535" s="6"/>
      <c r="B2535" s="6"/>
      <c r="C2535" s="6"/>
      <c r="D2535" s="10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 t="str">
        <f ca="1">IFERROR(__xludf.DUMMYFUNCTION("""COMPUTED_VALUE"""),"#N/A")</f>
        <v>#N/A</v>
      </c>
    </row>
    <row r="2536" spans="1:35" ht="12.75">
      <c r="A2536" s="6"/>
      <c r="B2536" s="6"/>
      <c r="C2536" s="6"/>
      <c r="D2536" s="10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 t="str">
        <f ca="1">IFERROR(__xludf.DUMMYFUNCTION("""COMPUTED_VALUE"""),"#N/A")</f>
        <v>#N/A</v>
      </c>
    </row>
    <row r="2537" spans="1:35" ht="12.75">
      <c r="A2537" s="6"/>
      <c r="B2537" s="6"/>
      <c r="C2537" s="6"/>
      <c r="D2537" s="10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 t="str">
        <f ca="1">IFERROR(__xludf.DUMMYFUNCTION("""COMPUTED_VALUE"""),"#N/A")</f>
        <v>#N/A</v>
      </c>
    </row>
    <row r="2538" spans="1:35" ht="12.75">
      <c r="A2538" s="6"/>
      <c r="B2538" s="6"/>
      <c r="C2538" s="6"/>
      <c r="D2538" s="10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 t="str">
        <f ca="1">IFERROR(__xludf.DUMMYFUNCTION("""COMPUTED_VALUE"""),"#N/A")</f>
        <v>#N/A</v>
      </c>
    </row>
    <row r="2539" spans="1:35" ht="12.75">
      <c r="A2539" s="6"/>
      <c r="B2539" s="6"/>
      <c r="C2539" s="6"/>
      <c r="D2539" s="10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 t="str">
        <f ca="1">IFERROR(__xludf.DUMMYFUNCTION("""COMPUTED_VALUE"""),"#N/A")</f>
        <v>#N/A</v>
      </c>
    </row>
    <row r="2540" spans="1:35" ht="12.75">
      <c r="A2540" s="6"/>
      <c r="B2540" s="6"/>
      <c r="C2540" s="6"/>
      <c r="D2540" s="10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 t="str">
        <f ca="1">IFERROR(__xludf.DUMMYFUNCTION("""COMPUTED_VALUE"""),"#N/A")</f>
        <v>#N/A</v>
      </c>
    </row>
    <row r="2541" spans="1:35" ht="12.75">
      <c r="A2541" s="6"/>
      <c r="B2541" s="6"/>
      <c r="C2541" s="6"/>
      <c r="D2541" s="10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 t="str">
        <f ca="1">IFERROR(__xludf.DUMMYFUNCTION("""COMPUTED_VALUE"""),"#N/A")</f>
        <v>#N/A</v>
      </c>
    </row>
    <row r="2542" spans="1:35" ht="12.75">
      <c r="A2542" s="6"/>
      <c r="B2542" s="6"/>
      <c r="C2542" s="6"/>
      <c r="D2542" s="10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 t="str">
        <f ca="1">IFERROR(__xludf.DUMMYFUNCTION("""COMPUTED_VALUE"""),"#N/A")</f>
        <v>#N/A</v>
      </c>
    </row>
    <row r="2543" spans="1:35" ht="12.75">
      <c r="A2543" s="6"/>
      <c r="B2543" s="6"/>
      <c r="C2543" s="6"/>
      <c r="D2543" s="10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 t="str">
        <f ca="1">IFERROR(__xludf.DUMMYFUNCTION("""COMPUTED_VALUE"""),"#N/A")</f>
        <v>#N/A</v>
      </c>
    </row>
    <row r="2544" spans="1:35" ht="12.75">
      <c r="A2544" s="6"/>
      <c r="B2544" s="6"/>
      <c r="C2544" s="6"/>
      <c r="D2544" s="10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 t="str">
        <f ca="1">IFERROR(__xludf.DUMMYFUNCTION("""COMPUTED_VALUE"""),"#N/A")</f>
        <v>#N/A</v>
      </c>
    </row>
    <row r="2545" spans="1:35" ht="12.75">
      <c r="A2545" s="6"/>
      <c r="B2545" s="6"/>
      <c r="C2545" s="6"/>
      <c r="D2545" s="10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 t="str">
        <f ca="1">IFERROR(__xludf.DUMMYFUNCTION("""COMPUTED_VALUE"""),"#N/A")</f>
        <v>#N/A</v>
      </c>
    </row>
    <row r="2546" spans="1:35" ht="12.75">
      <c r="A2546" s="6"/>
      <c r="B2546" s="6"/>
      <c r="C2546" s="6"/>
      <c r="D2546" s="10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 t="str">
        <f ca="1">IFERROR(__xludf.DUMMYFUNCTION("""COMPUTED_VALUE"""),"#N/A")</f>
        <v>#N/A</v>
      </c>
    </row>
    <row r="2547" spans="1:35" ht="12.75">
      <c r="A2547" s="6"/>
      <c r="B2547" s="6"/>
      <c r="C2547" s="6"/>
      <c r="D2547" s="10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 t="str">
        <f ca="1">IFERROR(__xludf.DUMMYFUNCTION("""COMPUTED_VALUE"""),"#N/A")</f>
        <v>#N/A</v>
      </c>
    </row>
    <row r="2548" spans="1:35" ht="12.75">
      <c r="A2548" s="6"/>
      <c r="B2548" s="6"/>
      <c r="C2548" s="6"/>
      <c r="D2548" s="10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 t="str">
        <f ca="1">IFERROR(__xludf.DUMMYFUNCTION("""COMPUTED_VALUE"""),"#N/A")</f>
        <v>#N/A</v>
      </c>
    </row>
    <row r="2549" spans="1:35" ht="12.75">
      <c r="A2549" s="6"/>
      <c r="B2549" s="6"/>
      <c r="C2549" s="6"/>
      <c r="D2549" s="10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 t="str">
        <f ca="1">IFERROR(__xludf.DUMMYFUNCTION("""COMPUTED_VALUE"""),"#N/A")</f>
        <v>#N/A</v>
      </c>
    </row>
    <row r="2550" spans="1:35" ht="12.75">
      <c r="A2550" s="6"/>
      <c r="B2550" s="6"/>
      <c r="C2550" s="6"/>
      <c r="D2550" s="10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 t="str">
        <f ca="1">IFERROR(__xludf.DUMMYFUNCTION("""COMPUTED_VALUE"""),"#N/A")</f>
        <v>#N/A</v>
      </c>
    </row>
    <row r="2551" spans="1:35" ht="12.75">
      <c r="A2551" s="6"/>
      <c r="B2551" s="6"/>
      <c r="C2551" s="6"/>
      <c r="D2551" s="10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 t="str">
        <f ca="1">IFERROR(__xludf.DUMMYFUNCTION("""COMPUTED_VALUE"""),"#N/A")</f>
        <v>#N/A</v>
      </c>
    </row>
    <row r="2552" spans="1:35" ht="12.75">
      <c r="A2552" s="6"/>
      <c r="B2552" s="6"/>
      <c r="C2552" s="6"/>
      <c r="D2552" s="10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 t="str">
        <f ca="1">IFERROR(__xludf.DUMMYFUNCTION("""COMPUTED_VALUE"""),"#N/A")</f>
        <v>#N/A</v>
      </c>
    </row>
    <row r="2553" spans="1:35" ht="12.75">
      <c r="A2553" s="6"/>
      <c r="B2553" s="6"/>
      <c r="C2553" s="6"/>
      <c r="D2553" s="10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 t="str">
        <f ca="1">IFERROR(__xludf.DUMMYFUNCTION("""COMPUTED_VALUE"""),"#N/A")</f>
        <v>#N/A</v>
      </c>
    </row>
    <row r="2554" spans="1:35" ht="12.75">
      <c r="A2554" s="6"/>
      <c r="B2554" s="6"/>
      <c r="C2554" s="6"/>
      <c r="D2554" s="10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 t="str">
        <f ca="1">IFERROR(__xludf.DUMMYFUNCTION("""COMPUTED_VALUE"""),"#N/A")</f>
        <v>#N/A</v>
      </c>
    </row>
    <row r="2555" spans="1:35" ht="12.75">
      <c r="A2555" s="6"/>
      <c r="B2555" s="6"/>
      <c r="C2555" s="6"/>
      <c r="D2555" s="10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 t="str">
        <f ca="1">IFERROR(__xludf.DUMMYFUNCTION("""COMPUTED_VALUE"""),"#N/A")</f>
        <v>#N/A</v>
      </c>
    </row>
    <row r="2556" spans="1:35" ht="12.75">
      <c r="A2556" s="6"/>
      <c r="B2556" s="6"/>
      <c r="C2556" s="6"/>
      <c r="D2556" s="10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 t="str">
        <f ca="1">IFERROR(__xludf.DUMMYFUNCTION("""COMPUTED_VALUE"""),"#N/A")</f>
        <v>#N/A</v>
      </c>
    </row>
    <row r="2557" spans="1:35" ht="12.75">
      <c r="A2557" s="6"/>
      <c r="B2557" s="6"/>
      <c r="C2557" s="6"/>
      <c r="D2557" s="10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 t="str">
        <f ca="1">IFERROR(__xludf.DUMMYFUNCTION("""COMPUTED_VALUE"""),"#N/A")</f>
        <v>#N/A</v>
      </c>
    </row>
    <row r="2558" spans="1:35" ht="12.75">
      <c r="A2558" s="6"/>
      <c r="B2558" s="6"/>
      <c r="C2558" s="6"/>
      <c r="D2558" s="10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 t="str">
        <f ca="1">IFERROR(__xludf.DUMMYFUNCTION("""COMPUTED_VALUE"""),"#N/A")</f>
        <v>#N/A</v>
      </c>
    </row>
    <row r="2559" spans="1:35" ht="12.75">
      <c r="A2559" s="6"/>
      <c r="B2559" s="6"/>
      <c r="C2559" s="6"/>
      <c r="D2559" s="10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 t="str">
        <f ca="1">IFERROR(__xludf.DUMMYFUNCTION("""COMPUTED_VALUE"""),"#N/A")</f>
        <v>#N/A</v>
      </c>
    </row>
    <row r="2560" spans="1:35" ht="12.75">
      <c r="A2560" s="6"/>
      <c r="B2560" s="6"/>
      <c r="C2560" s="6"/>
      <c r="D2560" s="10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 t="str">
        <f ca="1">IFERROR(__xludf.DUMMYFUNCTION("""COMPUTED_VALUE"""),"#N/A")</f>
        <v>#N/A</v>
      </c>
    </row>
    <row r="2561" spans="1:35" ht="12.75">
      <c r="A2561" s="6"/>
      <c r="B2561" s="6"/>
      <c r="C2561" s="6"/>
      <c r="D2561" s="10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 t="str">
        <f ca="1">IFERROR(__xludf.DUMMYFUNCTION("""COMPUTED_VALUE"""),"#N/A")</f>
        <v>#N/A</v>
      </c>
    </row>
    <row r="2562" spans="1:35" ht="12.75">
      <c r="A2562" s="6"/>
      <c r="B2562" s="6"/>
      <c r="C2562" s="6"/>
      <c r="D2562" s="10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 t="str">
        <f ca="1">IFERROR(__xludf.DUMMYFUNCTION("""COMPUTED_VALUE"""),"#N/A")</f>
        <v>#N/A</v>
      </c>
    </row>
    <row r="2563" spans="1:35" ht="12.75">
      <c r="A2563" s="6"/>
      <c r="B2563" s="6"/>
      <c r="C2563" s="6"/>
      <c r="D2563" s="10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 t="str">
        <f ca="1">IFERROR(__xludf.DUMMYFUNCTION("""COMPUTED_VALUE"""),"#N/A")</f>
        <v>#N/A</v>
      </c>
    </row>
    <row r="2564" spans="1:35" ht="12.75">
      <c r="A2564" s="6"/>
      <c r="B2564" s="6"/>
      <c r="C2564" s="6"/>
      <c r="D2564" s="10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 t="str">
        <f ca="1">IFERROR(__xludf.DUMMYFUNCTION("""COMPUTED_VALUE"""),"#N/A")</f>
        <v>#N/A</v>
      </c>
    </row>
    <row r="2565" spans="1:35" ht="12.75">
      <c r="A2565" s="6"/>
      <c r="B2565" s="6"/>
      <c r="C2565" s="6"/>
      <c r="D2565" s="10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 t="str">
        <f ca="1">IFERROR(__xludf.DUMMYFUNCTION("""COMPUTED_VALUE"""),"#N/A")</f>
        <v>#N/A</v>
      </c>
    </row>
    <row r="2566" spans="1:35" ht="12.75">
      <c r="A2566" s="6"/>
      <c r="B2566" s="6"/>
      <c r="C2566" s="6"/>
      <c r="D2566" s="10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 t="str">
        <f ca="1">IFERROR(__xludf.DUMMYFUNCTION("""COMPUTED_VALUE"""),"#N/A")</f>
        <v>#N/A</v>
      </c>
    </row>
    <row r="2567" spans="1:35" ht="12.75">
      <c r="A2567" s="6"/>
      <c r="B2567" s="6"/>
      <c r="C2567" s="6"/>
      <c r="D2567" s="10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 t="str">
        <f ca="1">IFERROR(__xludf.DUMMYFUNCTION("""COMPUTED_VALUE"""),"#N/A")</f>
        <v>#N/A</v>
      </c>
    </row>
    <row r="2568" spans="1:35" ht="12.75">
      <c r="A2568" s="6"/>
      <c r="B2568" s="6"/>
      <c r="C2568" s="6"/>
      <c r="D2568" s="10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 t="str">
        <f ca="1">IFERROR(__xludf.DUMMYFUNCTION("""COMPUTED_VALUE"""),"#N/A")</f>
        <v>#N/A</v>
      </c>
    </row>
    <row r="2569" spans="1:35" ht="12.75">
      <c r="A2569" s="6"/>
      <c r="B2569" s="6"/>
      <c r="C2569" s="6"/>
      <c r="D2569" s="10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 t="str">
        <f ca="1">IFERROR(__xludf.DUMMYFUNCTION("""COMPUTED_VALUE"""),"#N/A")</f>
        <v>#N/A</v>
      </c>
    </row>
    <row r="2570" spans="1:35" ht="12.75">
      <c r="A2570" s="6"/>
      <c r="B2570" s="6"/>
      <c r="C2570" s="6"/>
      <c r="D2570" s="10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 t="str">
        <f ca="1">IFERROR(__xludf.DUMMYFUNCTION("""COMPUTED_VALUE"""),"#N/A")</f>
        <v>#N/A</v>
      </c>
    </row>
    <row r="2571" spans="1:35" ht="12.75">
      <c r="A2571" s="6"/>
      <c r="B2571" s="6"/>
      <c r="C2571" s="6"/>
      <c r="D2571" s="10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 t="str">
        <f ca="1">IFERROR(__xludf.DUMMYFUNCTION("""COMPUTED_VALUE"""),"#N/A")</f>
        <v>#N/A</v>
      </c>
    </row>
    <row r="2572" spans="1:35" ht="12.75">
      <c r="A2572" s="6"/>
      <c r="B2572" s="6"/>
      <c r="C2572" s="6"/>
      <c r="D2572" s="10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 t="str">
        <f ca="1">IFERROR(__xludf.DUMMYFUNCTION("""COMPUTED_VALUE"""),"#N/A")</f>
        <v>#N/A</v>
      </c>
    </row>
    <row r="2573" spans="1:35" ht="12.75">
      <c r="A2573" s="6"/>
      <c r="B2573" s="6"/>
      <c r="C2573" s="6"/>
      <c r="D2573" s="10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 t="str">
        <f ca="1">IFERROR(__xludf.DUMMYFUNCTION("""COMPUTED_VALUE"""),"#N/A")</f>
        <v>#N/A</v>
      </c>
    </row>
    <row r="2574" spans="1:35" ht="12.75">
      <c r="A2574" s="6"/>
      <c r="B2574" s="6"/>
      <c r="C2574" s="6"/>
      <c r="D2574" s="10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 t="str">
        <f ca="1">IFERROR(__xludf.DUMMYFUNCTION("""COMPUTED_VALUE"""),"#N/A")</f>
        <v>#N/A</v>
      </c>
    </row>
    <row r="2575" spans="1:35" ht="12.75">
      <c r="A2575" s="6"/>
      <c r="B2575" s="6"/>
      <c r="C2575" s="6"/>
      <c r="D2575" s="10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 t="str">
        <f ca="1">IFERROR(__xludf.DUMMYFUNCTION("""COMPUTED_VALUE"""),"#N/A")</f>
        <v>#N/A</v>
      </c>
    </row>
    <row r="2576" spans="1:35" ht="12.75">
      <c r="A2576" s="6"/>
      <c r="B2576" s="6"/>
      <c r="C2576" s="6"/>
      <c r="D2576" s="10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 t="str">
        <f ca="1">IFERROR(__xludf.DUMMYFUNCTION("""COMPUTED_VALUE"""),"#N/A")</f>
        <v>#N/A</v>
      </c>
    </row>
    <row r="2577" spans="1:35" ht="12.75">
      <c r="A2577" s="6"/>
      <c r="B2577" s="6"/>
      <c r="C2577" s="6"/>
      <c r="D2577" s="10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 t="str">
        <f ca="1">IFERROR(__xludf.DUMMYFUNCTION("""COMPUTED_VALUE"""),"#N/A")</f>
        <v>#N/A</v>
      </c>
    </row>
    <row r="2578" spans="1:35" ht="12.75">
      <c r="A2578" s="6"/>
      <c r="B2578" s="6"/>
      <c r="C2578" s="6"/>
      <c r="D2578" s="10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 t="str">
        <f ca="1">IFERROR(__xludf.DUMMYFUNCTION("""COMPUTED_VALUE"""),"#N/A")</f>
        <v>#N/A</v>
      </c>
    </row>
    <row r="2579" spans="1:35" ht="12.75">
      <c r="A2579" s="6"/>
      <c r="B2579" s="6"/>
      <c r="C2579" s="6"/>
      <c r="D2579" s="10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 t="str">
        <f ca="1">IFERROR(__xludf.DUMMYFUNCTION("""COMPUTED_VALUE"""),"#N/A")</f>
        <v>#N/A</v>
      </c>
    </row>
    <row r="2580" spans="1:35" ht="12.75">
      <c r="A2580" s="6"/>
      <c r="B2580" s="6"/>
      <c r="C2580" s="6"/>
      <c r="D2580" s="10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 t="str">
        <f ca="1">IFERROR(__xludf.DUMMYFUNCTION("""COMPUTED_VALUE"""),"#N/A")</f>
        <v>#N/A</v>
      </c>
    </row>
    <row r="2581" spans="1:35" ht="12.75">
      <c r="A2581" s="6"/>
      <c r="B2581" s="6"/>
      <c r="C2581" s="6"/>
      <c r="D2581" s="10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 t="str">
        <f ca="1">IFERROR(__xludf.DUMMYFUNCTION("""COMPUTED_VALUE"""),"#N/A")</f>
        <v>#N/A</v>
      </c>
    </row>
    <row r="2582" spans="1:35" ht="12.75">
      <c r="A2582" s="6"/>
      <c r="B2582" s="6"/>
      <c r="C2582" s="6"/>
      <c r="D2582" s="10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 t="str">
        <f ca="1">IFERROR(__xludf.DUMMYFUNCTION("""COMPUTED_VALUE"""),"#N/A")</f>
        <v>#N/A</v>
      </c>
    </row>
    <row r="2583" spans="1:35" ht="12.75">
      <c r="A2583" s="6"/>
      <c r="B2583" s="6"/>
      <c r="C2583" s="6"/>
      <c r="D2583" s="10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 t="str">
        <f ca="1">IFERROR(__xludf.DUMMYFUNCTION("""COMPUTED_VALUE"""),"#N/A")</f>
        <v>#N/A</v>
      </c>
    </row>
    <row r="2584" spans="1:35" ht="12.75">
      <c r="A2584" s="6"/>
      <c r="B2584" s="6"/>
      <c r="C2584" s="6"/>
      <c r="D2584" s="10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 t="str">
        <f ca="1">IFERROR(__xludf.DUMMYFUNCTION("""COMPUTED_VALUE"""),"#N/A")</f>
        <v>#N/A</v>
      </c>
    </row>
    <row r="2585" spans="1:35" ht="12.75">
      <c r="A2585" s="6"/>
      <c r="B2585" s="6"/>
      <c r="C2585" s="6"/>
      <c r="D2585" s="10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 t="str">
        <f ca="1">IFERROR(__xludf.DUMMYFUNCTION("""COMPUTED_VALUE"""),"#N/A")</f>
        <v>#N/A</v>
      </c>
    </row>
    <row r="2586" spans="1:35" ht="12.75">
      <c r="A2586" s="6"/>
      <c r="B2586" s="6"/>
      <c r="C2586" s="6"/>
      <c r="D2586" s="10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 t="str">
        <f ca="1">IFERROR(__xludf.DUMMYFUNCTION("""COMPUTED_VALUE"""),"#N/A")</f>
        <v>#N/A</v>
      </c>
    </row>
    <row r="2587" spans="1:35" ht="12.75">
      <c r="A2587" s="6"/>
      <c r="B2587" s="6"/>
      <c r="C2587" s="6"/>
      <c r="D2587" s="10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 t="str">
        <f ca="1">IFERROR(__xludf.DUMMYFUNCTION("""COMPUTED_VALUE"""),"#N/A")</f>
        <v>#N/A</v>
      </c>
    </row>
    <row r="2588" spans="1:35" ht="12.75">
      <c r="A2588" s="6"/>
      <c r="B2588" s="6"/>
      <c r="C2588" s="6"/>
      <c r="D2588" s="10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 t="str">
        <f ca="1">IFERROR(__xludf.DUMMYFUNCTION("""COMPUTED_VALUE"""),"#N/A")</f>
        <v>#N/A</v>
      </c>
    </row>
    <row r="2589" spans="1:35" ht="12.75">
      <c r="A2589" s="6"/>
      <c r="B2589" s="6"/>
      <c r="C2589" s="6"/>
      <c r="D2589" s="10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 t="str">
        <f ca="1">IFERROR(__xludf.DUMMYFUNCTION("""COMPUTED_VALUE"""),"#N/A")</f>
        <v>#N/A</v>
      </c>
    </row>
    <row r="2590" spans="1:35" ht="12.75">
      <c r="A2590" s="6"/>
      <c r="B2590" s="6"/>
      <c r="C2590" s="6"/>
      <c r="D2590" s="10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 t="str">
        <f ca="1">IFERROR(__xludf.DUMMYFUNCTION("""COMPUTED_VALUE"""),"#N/A")</f>
        <v>#N/A</v>
      </c>
    </row>
    <row r="2591" spans="1:35" ht="12.75">
      <c r="A2591" s="6"/>
      <c r="B2591" s="6"/>
      <c r="C2591" s="6"/>
      <c r="D2591" s="10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 t="str">
        <f ca="1">IFERROR(__xludf.DUMMYFUNCTION("""COMPUTED_VALUE"""),"#N/A")</f>
        <v>#N/A</v>
      </c>
    </row>
    <row r="2592" spans="1:35" ht="12.75">
      <c r="A2592" s="6"/>
      <c r="B2592" s="6"/>
      <c r="C2592" s="6"/>
      <c r="D2592" s="10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 t="str">
        <f ca="1">IFERROR(__xludf.DUMMYFUNCTION("""COMPUTED_VALUE"""),"#N/A")</f>
        <v>#N/A</v>
      </c>
    </row>
    <row r="2593" spans="1:35" ht="12.75">
      <c r="A2593" s="6"/>
      <c r="B2593" s="6"/>
      <c r="C2593" s="6"/>
      <c r="D2593" s="10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 t="str">
        <f ca="1">IFERROR(__xludf.DUMMYFUNCTION("""COMPUTED_VALUE"""),"#N/A")</f>
        <v>#N/A</v>
      </c>
    </row>
    <row r="2594" spans="1:35" ht="12.75">
      <c r="A2594" s="6"/>
      <c r="B2594" s="6"/>
      <c r="C2594" s="6"/>
      <c r="D2594" s="10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 t="str">
        <f ca="1">IFERROR(__xludf.DUMMYFUNCTION("""COMPUTED_VALUE"""),"#N/A")</f>
        <v>#N/A</v>
      </c>
    </row>
    <row r="2595" spans="1:35" ht="12.75">
      <c r="A2595" s="6"/>
      <c r="B2595" s="6"/>
      <c r="C2595" s="6"/>
      <c r="D2595" s="10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 t="str">
        <f ca="1">IFERROR(__xludf.DUMMYFUNCTION("""COMPUTED_VALUE"""),"#N/A")</f>
        <v>#N/A</v>
      </c>
    </row>
    <row r="2596" spans="1:35" ht="12.75">
      <c r="A2596" s="6"/>
      <c r="B2596" s="6"/>
      <c r="C2596" s="6"/>
      <c r="D2596" s="10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 t="str">
        <f ca="1">IFERROR(__xludf.DUMMYFUNCTION("""COMPUTED_VALUE"""),"#N/A")</f>
        <v>#N/A</v>
      </c>
    </row>
    <row r="2597" spans="1:35" ht="12.75">
      <c r="A2597" s="6"/>
      <c r="B2597" s="6"/>
      <c r="C2597" s="6"/>
      <c r="D2597" s="10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 t="str">
        <f ca="1">IFERROR(__xludf.DUMMYFUNCTION("""COMPUTED_VALUE"""),"#N/A")</f>
        <v>#N/A</v>
      </c>
    </row>
    <row r="2598" spans="1:35" ht="12.75">
      <c r="A2598" s="6"/>
      <c r="B2598" s="6"/>
      <c r="C2598" s="6"/>
      <c r="D2598" s="10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 t="str">
        <f ca="1">IFERROR(__xludf.DUMMYFUNCTION("""COMPUTED_VALUE"""),"#N/A")</f>
        <v>#N/A</v>
      </c>
    </row>
    <row r="2599" spans="1:35" ht="12.75">
      <c r="A2599" s="6"/>
      <c r="B2599" s="6"/>
      <c r="C2599" s="6"/>
      <c r="D2599" s="10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 t="str">
        <f ca="1">IFERROR(__xludf.DUMMYFUNCTION("""COMPUTED_VALUE"""),"#N/A")</f>
        <v>#N/A</v>
      </c>
    </row>
    <row r="2600" spans="1:35" ht="12.75">
      <c r="A2600" s="6"/>
      <c r="B2600" s="6"/>
      <c r="C2600" s="6"/>
      <c r="D2600" s="10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 t="str">
        <f ca="1">IFERROR(__xludf.DUMMYFUNCTION("""COMPUTED_VALUE"""),"#N/A")</f>
        <v>#N/A</v>
      </c>
    </row>
    <row r="2601" spans="1:35" ht="12.75">
      <c r="A2601" s="6"/>
      <c r="B2601" s="6"/>
      <c r="C2601" s="6"/>
      <c r="D2601" s="10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 t="str">
        <f ca="1">IFERROR(__xludf.DUMMYFUNCTION("""COMPUTED_VALUE"""),"#N/A")</f>
        <v>#N/A</v>
      </c>
    </row>
    <row r="2602" spans="1:35" ht="12.75">
      <c r="A2602" s="6"/>
      <c r="B2602" s="6"/>
      <c r="C2602" s="6"/>
      <c r="D2602" s="10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 t="str">
        <f ca="1">IFERROR(__xludf.DUMMYFUNCTION("""COMPUTED_VALUE"""),"#N/A")</f>
        <v>#N/A</v>
      </c>
    </row>
    <row r="2603" spans="1:35" ht="12.75">
      <c r="A2603" s="6"/>
      <c r="B2603" s="6"/>
      <c r="C2603" s="6"/>
      <c r="D2603" s="10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 t="str">
        <f ca="1">IFERROR(__xludf.DUMMYFUNCTION("""COMPUTED_VALUE"""),"#N/A")</f>
        <v>#N/A</v>
      </c>
    </row>
    <row r="2604" spans="1:35" ht="12.75">
      <c r="A2604" s="6"/>
      <c r="B2604" s="6"/>
      <c r="C2604" s="6"/>
      <c r="D2604" s="10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 t="str">
        <f ca="1">IFERROR(__xludf.DUMMYFUNCTION("""COMPUTED_VALUE"""),"#N/A")</f>
        <v>#N/A</v>
      </c>
    </row>
    <row r="2605" spans="1:35" ht="12.75">
      <c r="A2605" s="6"/>
      <c r="B2605" s="6"/>
      <c r="C2605" s="6"/>
      <c r="D2605" s="10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 t="str">
        <f ca="1">IFERROR(__xludf.DUMMYFUNCTION("""COMPUTED_VALUE"""),"#N/A")</f>
        <v>#N/A</v>
      </c>
    </row>
    <row r="2606" spans="1:35" ht="12.75">
      <c r="A2606" s="6"/>
      <c r="B2606" s="6"/>
      <c r="C2606" s="6"/>
      <c r="D2606" s="10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 t="str">
        <f ca="1">IFERROR(__xludf.DUMMYFUNCTION("""COMPUTED_VALUE"""),"#N/A")</f>
        <v>#N/A</v>
      </c>
    </row>
    <row r="2607" spans="1:35" ht="12.75">
      <c r="A2607" s="6"/>
      <c r="B2607" s="6"/>
      <c r="C2607" s="6"/>
      <c r="D2607" s="10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 t="str">
        <f ca="1">IFERROR(__xludf.DUMMYFUNCTION("""COMPUTED_VALUE"""),"#N/A")</f>
        <v>#N/A</v>
      </c>
    </row>
    <row r="2608" spans="1:35" ht="12.75">
      <c r="A2608" s="6"/>
      <c r="B2608" s="6"/>
      <c r="C2608" s="6"/>
      <c r="D2608" s="10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 t="str">
        <f ca="1">IFERROR(__xludf.DUMMYFUNCTION("""COMPUTED_VALUE"""),"#N/A")</f>
        <v>#N/A</v>
      </c>
    </row>
    <row r="2609" spans="1:35" ht="12.75">
      <c r="A2609" s="6"/>
      <c r="B2609" s="6"/>
      <c r="C2609" s="6"/>
      <c r="D2609" s="10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 t="str">
        <f ca="1">IFERROR(__xludf.DUMMYFUNCTION("""COMPUTED_VALUE"""),"#N/A")</f>
        <v>#N/A</v>
      </c>
    </row>
    <row r="2610" spans="1:35" ht="12.75">
      <c r="A2610" s="6"/>
      <c r="B2610" s="6"/>
      <c r="C2610" s="6"/>
      <c r="D2610" s="10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 t="str">
        <f ca="1">IFERROR(__xludf.DUMMYFUNCTION("""COMPUTED_VALUE"""),"#N/A")</f>
        <v>#N/A</v>
      </c>
    </row>
    <row r="2611" spans="1:35" ht="12.75">
      <c r="A2611" s="6"/>
      <c r="B2611" s="6"/>
      <c r="C2611" s="6"/>
      <c r="D2611" s="10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 t="str">
        <f ca="1">IFERROR(__xludf.DUMMYFUNCTION("""COMPUTED_VALUE"""),"#N/A")</f>
        <v>#N/A</v>
      </c>
    </row>
    <row r="2612" spans="1:35" ht="12.75">
      <c r="A2612" s="6"/>
      <c r="B2612" s="6"/>
      <c r="C2612" s="6"/>
      <c r="D2612" s="10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 t="str">
        <f ca="1">IFERROR(__xludf.DUMMYFUNCTION("""COMPUTED_VALUE"""),"#N/A")</f>
        <v>#N/A</v>
      </c>
    </row>
    <row r="2613" spans="1:35" ht="12.75">
      <c r="A2613" s="6"/>
      <c r="B2613" s="6"/>
      <c r="C2613" s="6"/>
      <c r="D2613" s="10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 t="str">
        <f ca="1">IFERROR(__xludf.DUMMYFUNCTION("""COMPUTED_VALUE"""),"#N/A")</f>
        <v>#N/A</v>
      </c>
    </row>
    <row r="2614" spans="1:35" ht="12.75">
      <c r="A2614" s="6"/>
      <c r="B2614" s="6"/>
      <c r="C2614" s="6"/>
      <c r="D2614" s="10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 t="str">
        <f ca="1">IFERROR(__xludf.DUMMYFUNCTION("""COMPUTED_VALUE"""),"#N/A")</f>
        <v>#N/A</v>
      </c>
    </row>
    <row r="2615" spans="1:35" ht="12.75">
      <c r="A2615" s="6"/>
      <c r="B2615" s="6"/>
      <c r="C2615" s="6"/>
      <c r="D2615" s="10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 t="str">
        <f ca="1">IFERROR(__xludf.DUMMYFUNCTION("""COMPUTED_VALUE"""),"#N/A")</f>
        <v>#N/A</v>
      </c>
    </row>
    <row r="2616" spans="1:35" ht="12.75">
      <c r="A2616" s="6"/>
      <c r="B2616" s="6"/>
      <c r="C2616" s="6"/>
      <c r="D2616" s="10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 t="str">
        <f ca="1">IFERROR(__xludf.DUMMYFUNCTION("""COMPUTED_VALUE"""),"#N/A")</f>
        <v>#N/A</v>
      </c>
    </row>
    <row r="2617" spans="1:35" ht="12.75">
      <c r="A2617" s="6"/>
      <c r="B2617" s="6"/>
      <c r="C2617" s="6"/>
      <c r="D2617" s="10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 t="str">
        <f ca="1">IFERROR(__xludf.DUMMYFUNCTION("""COMPUTED_VALUE"""),"#N/A")</f>
        <v>#N/A</v>
      </c>
    </row>
    <row r="2618" spans="1:35" ht="12.75">
      <c r="A2618" s="6"/>
      <c r="B2618" s="6"/>
      <c r="C2618" s="6"/>
      <c r="D2618" s="10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 t="str">
        <f ca="1">IFERROR(__xludf.DUMMYFUNCTION("""COMPUTED_VALUE"""),"#N/A")</f>
        <v>#N/A</v>
      </c>
    </row>
    <row r="2619" spans="1:35" ht="12.75">
      <c r="A2619" s="6"/>
      <c r="B2619" s="6"/>
      <c r="C2619" s="6"/>
      <c r="D2619" s="10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 t="str">
        <f ca="1">IFERROR(__xludf.DUMMYFUNCTION("""COMPUTED_VALUE"""),"#N/A")</f>
        <v>#N/A</v>
      </c>
    </row>
    <row r="2620" spans="1:35" ht="12.75">
      <c r="A2620" s="6"/>
      <c r="B2620" s="6"/>
      <c r="C2620" s="6"/>
      <c r="D2620" s="10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 t="str">
        <f ca="1">IFERROR(__xludf.DUMMYFUNCTION("""COMPUTED_VALUE"""),"#N/A")</f>
        <v>#N/A</v>
      </c>
    </row>
    <row r="2621" spans="1:35" ht="12.75">
      <c r="A2621" s="6"/>
      <c r="B2621" s="6"/>
      <c r="C2621" s="6"/>
      <c r="D2621" s="10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 t="str">
        <f ca="1">IFERROR(__xludf.DUMMYFUNCTION("""COMPUTED_VALUE"""),"#N/A")</f>
        <v>#N/A</v>
      </c>
    </row>
    <row r="2622" spans="1:35" ht="12.75">
      <c r="A2622" s="6"/>
      <c r="B2622" s="6"/>
      <c r="C2622" s="6"/>
      <c r="D2622" s="10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 t="str">
        <f ca="1">IFERROR(__xludf.DUMMYFUNCTION("""COMPUTED_VALUE"""),"#N/A")</f>
        <v>#N/A</v>
      </c>
    </row>
    <row r="2623" spans="1:35" ht="12.75">
      <c r="A2623" s="6"/>
      <c r="B2623" s="6"/>
      <c r="C2623" s="6"/>
      <c r="D2623" s="10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 t="str">
        <f ca="1">IFERROR(__xludf.DUMMYFUNCTION("""COMPUTED_VALUE"""),"#N/A")</f>
        <v>#N/A</v>
      </c>
    </row>
    <row r="2624" spans="1:35" ht="12.75">
      <c r="A2624" s="6"/>
      <c r="B2624" s="6"/>
      <c r="C2624" s="6"/>
      <c r="D2624" s="10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 t="str">
        <f ca="1">IFERROR(__xludf.DUMMYFUNCTION("""COMPUTED_VALUE"""),"#N/A")</f>
        <v>#N/A</v>
      </c>
    </row>
    <row r="2625" spans="1:35" ht="12.75">
      <c r="A2625" s="6"/>
      <c r="B2625" s="6"/>
      <c r="C2625" s="6"/>
      <c r="D2625" s="10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 t="str">
        <f ca="1">IFERROR(__xludf.DUMMYFUNCTION("""COMPUTED_VALUE"""),"#N/A")</f>
        <v>#N/A</v>
      </c>
    </row>
    <row r="2626" spans="1:35" ht="12.75">
      <c r="A2626" s="6"/>
      <c r="B2626" s="6"/>
      <c r="C2626" s="6"/>
      <c r="D2626" s="10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 t="str">
        <f ca="1">IFERROR(__xludf.DUMMYFUNCTION("""COMPUTED_VALUE"""),"#N/A")</f>
        <v>#N/A</v>
      </c>
    </row>
    <row r="2627" spans="1:35" ht="12.75">
      <c r="A2627" s="6"/>
      <c r="B2627" s="6"/>
      <c r="C2627" s="6"/>
      <c r="D2627" s="10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 t="str">
        <f ca="1">IFERROR(__xludf.DUMMYFUNCTION("""COMPUTED_VALUE"""),"#N/A")</f>
        <v>#N/A</v>
      </c>
    </row>
    <row r="2628" spans="1:35" ht="12.75">
      <c r="A2628" s="6"/>
      <c r="B2628" s="6"/>
      <c r="C2628" s="6"/>
      <c r="D2628" s="10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 t="str">
        <f ca="1">IFERROR(__xludf.DUMMYFUNCTION("""COMPUTED_VALUE"""),"#N/A")</f>
        <v>#N/A</v>
      </c>
    </row>
    <row r="2629" spans="1:35" ht="12.75">
      <c r="A2629" s="6"/>
      <c r="B2629" s="6"/>
      <c r="C2629" s="6"/>
      <c r="D2629" s="10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 t="str">
        <f ca="1">IFERROR(__xludf.DUMMYFUNCTION("""COMPUTED_VALUE"""),"#N/A")</f>
        <v>#N/A</v>
      </c>
    </row>
    <row r="2630" spans="1:35" ht="12.75">
      <c r="A2630" s="6"/>
      <c r="B2630" s="6"/>
      <c r="C2630" s="6"/>
      <c r="D2630" s="10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 t="str">
        <f ca="1">IFERROR(__xludf.DUMMYFUNCTION("""COMPUTED_VALUE"""),"#N/A")</f>
        <v>#N/A</v>
      </c>
    </row>
    <row r="2631" spans="1:35" ht="12.75">
      <c r="A2631" s="6"/>
      <c r="B2631" s="6"/>
      <c r="C2631" s="6"/>
      <c r="D2631" s="10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 t="str">
        <f ca="1">IFERROR(__xludf.DUMMYFUNCTION("""COMPUTED_VALUE"""),"#N/A")</f>
        <v>#N/A</v>
      </c>
    </row>
    <row r="2632" spans="1:35" ht="12.75">
      <c r="A2632" s="6"/>
      <c r="B2632" s="6"/>
      <c r="C2632" s="6"/>
      <c r="D2632" s="10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 t="str">
        <f ca="1">IFERROR(__xludf.DUMMYFUNCTION("""COMPUTED_VALUE"""),"#N/A")</f>
        <v>#N/A</v>
      </c>
    </row>
    <row r="2633" spans="1:35" ht="12.75">
      <c r="A2633" s="6"/>
      <c r="B2633" s="6"/>
      <c r="C2633" s="6"/>
      <c r="D2633" s="10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 t="str">
        <f ca="1">IFERROR(__xludf.DUMMYFUNCTION("""COMPUTED_VALUE"""),"#N/A")</f>
        <v>#N/A</v>
      </c>
    </row>
    <row r="2634" spans="1:35" ht="12.75">
      <c r="A2634" s="6"/>
      <c r="B2634" s="6"/>
      <c r="C2634" s="6"/>
      <c r="D2634" s="10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 t="str">
        <f ca="1">IFERROR(__xludf.DUMMYFUNCTION("""COMPUTED_VALUE"""),"#N/A")</f>
        <v>#N/A</v>
      </c>
    </row>
    <row r="2635" spans="1:35" ht="12.75">
      <c r="A2635" s="6"/>
      <c r="B2635" s="6"/>
      <c r="C2635" s="6"/>
      <c r="D2635" s="10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 t="str">
        <f ca="1">IFERROR(__xludf.DUMMYFUNCTION("""COMPUTED_VALUE"""),"#N/A")</f>
        <v>#N/A</v>
      </c>
    </row>
    <row r="2636" spans="1:35" ht="12.75">
      <c r="A2636" s="6"/>
      <c r="B2636" s="6"/>
      <c r="C2636" s="6"/>
      <c r="D2636" s="10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 t="str">
        <f ca="1">IFERROR(__xludf.DUMMYFUNCTION("""COMPUTED_VALUE"""),"#N/A")</f>
        <v>#N/A</v>
      </c>
    </row>
    <row r="2637" spans="1:35" ht="12.75">
      <c r="A2637" s="6"/>
      <c r="B2637" s="6"/>
      <c r="C2637" s="6"/>
      <c r="D2637" s="10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 t="str">
        <f ca="1">IFERROR(__xludf.DUMMYFUNCTION("""COMPUTED_VALUE"""),"#N/A")</f>
        <v>#N/A</v>
      </c>
    </row>
    <row r="2638" spans="1:35" ht="12.75">
      <c r="A2638" s="6"/>
      <c r="B2638" s="6"/>
      <c r="C2638" s="6"/>
      <c r="D2638" s="10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 t="str">
        <f ca="1">IFERROR(__xludf.DUMMYFUNCTION("""COMPUTED_VALUE"""),"#N/A")</f>
        <v>#N/A</v>
      </c>
    </row>
    <row r="2639" spans="1:35" ht="12.75">
      <c r="A2639" s="6"/>
      <c r="B2639" s="6"/>
      <c r="C2639" s="6"/>
      <c r="D2639" s="10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 t="str">
        <f ca="1">IFERROR(__xludf.DUMMYFUNCTION("""COMPUTED_VALUE""")," ")</f>
        <v xml:space="preserve"> </v>
      </c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 t="str">
        <f ca="1">IFERROR(__xludf.DUMMYFUNCTION("""COMPUTED_VALUE"""),"#N/A")</f>
        <v>#N/A</v>
      </c>
    </row>
    <row r="2640" spans="1:35" ht="12.75">
      <c r="A2640" s="6"/>
      <c r="B2640" s="6"/>
      <c r="C2640" s="6"/>
      <c r="D2640" s="10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 t="str">
        <f ca="1">IFERROR(__xludf.DUMMYFUNCTION("""COMPUTED_VALUE"""),"#N/A")</f>
        <v>#N/A</v>
      </c>
    </row>
    <row r="2641" spans="1:35" ht="12.75">
      <c r="A2641" s="6"/>
      <c r="B2641" s="6"/>
      <c r="C2641" s="6"/>
      <c r="D2641" s="10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 t="str">
        <f ca="1">IFERROR(__xludf.DUMMYFUNCTION("""COMPUTED_VALUE"""),"#N/A")</f>
        <v>#N/A</v>
      </c>
    </row>
    <row r="2642" spans="1:35" ht="12.75">
      <c r="A2642" s="6"/>
      <c r="B2642" s="6"/>
      <c r="C2642" s="6"/>
      <c r="D2642" s="10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 t="str">
        <f ca="1">IFERROR(__xludf.DUMMYFUNCTION("""COMPUTED_VALUE"""),"#N/A")</f>
        <v>#N/A</v>
      </c>
    </row>
    <row r="2643" spans="1:35" ht="12.75">
      <c r="A2643" s="6"/>
      <c r="B2643" s="6"/>
      <c r="C2643" s="6"/>
      <c r="D2643" s="10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 t="str">
        <f ca="1">IFERROR(__xludf.DUMMYFUNCTION("""COMPUTED_VALUE"""),"#N/A")</f>
        <v>#N/A</v>
      </c>
    </row>
    <row r="2644" spans="1:35" ht="12.75">
      <c r="A2644" s="6"/>
      <c r="B2644" s="6"/>
      <c r="C2644" s="6"/>
      <c r="D2644" s="10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 t="str">
        <f ca="1">IFERROR(__xludf.DUMMYFUNCTION("""COMPUTED_VALUE"""),"#N/A")</f>
        <v>#N/A</v>
      </c>
    </row>
    <row r="2645" spans="1:35" ht="12.75">
      <c r="A2645" s="6"/>
      <c r="B2645" s="6"/>
      <c r="C2645" s="6"/>
      <c r="D2645" s="10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 t="str">
        <f ca="1">IFERROR(__xludf.DUMMYFUNCTION("""COMPUTED_VALUE"""),"#N/A")</f>
        <v>#N/A</v>
      </c>
    </row>
    <row r="2646" spans="1:35" ht="12.75">
      <c r="A2646" s="6"/>
      <c r="B2646" s="6"/>
      <c r="C2646" s="6"/>
      <c r="D2646" s="10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 t="str">
        <f ca="1">IFERROR(__xludf.DUMMYFUNCTION("""COMPUTED_VALUE"""),"#N/A")</f>
        <v>#N/A</v>
      </c>
    </row>
    <row r="2647" spans="1:35" ht="12.75">
      <c r="A2647" s="6"/>
      <c r="B2647" s="6"/>
      <c r="C2647" s="6"/>
      <c r="D2647" s="10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 t="str">
        <f ca="1">IFERROR(__xludf.DUMMYFUNCTION("""COMPUTED_VALUE"""),"#N/A")</f>
        <v>#N/A</v>
      </c>
    </row>
    <row r="2648" spans="1:35" ht="12.75">
      <c r="A2648" s="6"/>
      <c r="B2648" s="6"/>
      <c r="C2648" s="6"/>
      <c r="D2648" s="10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 t="str">
        <f ca="1">IFERROR(__xludf.DUMMYFUNCTION("""COMPUTED_VALUE"""),"#N/A")</f>
        <v>#N/A</v>
      </c>
    </row>
    <row r="2649" spans="1:35" ht="12.75">
      <c r="A2649" s="6"/>
      <c r="B2649" s="6"/>
      <c r="C2649" s="6"/>
      <c r="D2649" s="10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 t="str">
        <f ca="1">IFERROR(__xludf.DUMMYFUNCTION("""COMPUTED_VALUE"""),"#N/A")</f>
        <v>#N/A</v>
      </c>
    </row>
    <row r="2650" spans="1:35" ht="12.75">
      <c r="A2650" s="6"/>
      <c r="B2650" s="6"/>
      <c r="C2650" s="6"/>
      <c r="D2650" s="10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 t="str">
        <f ca="1">IFERROR(__xludf.DUMMYFUNCTION("""COMPUTED_VALUE"""),"#N/A")</f>
        <v>#N/A</v>
      </c>
    </row>
    <row r="2651" spans="1:35" ht="12.75">
      <c r="A2651" s="6"/>
      <c r="B2651" s="6"/>
      <c r="C2651" s="6"/>
      <c r="D2651" s="10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 t="str">
        <f ca="1">IFERROR(__xludf.DUMMYFUNCTION("""COMPUTED_VALUE"""),"#N/A")</f>
        <v>#N/A</v>
      </c>
    </row>
    <row r="2652" spans="1:35" ht="12.75">
      <c r="A2652" s="6"/>
      <c r="B2652" s="6"/>
      <c r="C2652" s="6"/>
      <c r="D2652" s="10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 t="str">
        <f ca="1">IFERROR(__xludf.DUMMYFUNCTION("""COMPUTED_VALUE"""),"#N/A")</f>
        <v>#N/A</v>
      </c>
    </row>
    <row r="2653" spans="1:35" ht="12.75">
      <c r="A2653" s="6"/>
      <c r="B2653" s="6"/>
      <c r="C2653" s="6"/>
      <c r="D2653" s="10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 t="str">
        <f ca="1">IFERROR(__xludf.DUMMYFUNCTION("""COMPUTED_VALUE"""),"#N/A")</f>
        <v>#N/A</v>
      </c>
    </row>
    <row r="2654" spans="1:35" ht="12.75">
      <c r="A2654" s="6"/>
      <c r="B2654" s="6"/>
      <c r="C2654" s="6"/>
      <c r="D2654" s="10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 t="str">
        <f ca="1">IFERROR(__xludf.DUMMYFUNCTION("""COMPUTED_VALUE"""),"#N/A")</f>
        <v>#N/A</v>
      </c>
    </row>
    <row r="2655" spans="1:35" ht="12.75">
      <c r="A2655" s="6"/>
      <c r="B2655" s="6"/>
      <c r="C2655" s="6"/>
      <c r="D2655" s="10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 t="str">
        <f ca="1">IFERROR(__xludf.DUMMYFUNCTION("""COMPUTED_VALUE"""),"#N/A")</f>
        <v>#N/A</v>
      </c>
    </row>
    <row r="2656" spans="1:35" ht="12.75">
      <c r="A2656" s="6"/>
      <c r="B2656" s="6"/>
      <c r="C2656" s="6"/>
      <c r="D2656" s="10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 t="str">
        <f ca="1">IFERROR(__xludf.DUMMYFUNCTION("""COMPUTED_VALUE"""),"#N/A")</f>
        <v>#N/A</v>
      </c>
    </row>
    <row r="2657" spans="1:35" ht="12.75">
      <c r="A2657" s="6"/>
      <c r="B2657" s="6"/>
      <c r="C2657" s="6"/>
      <c r="D2657" s="10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 t="str">
        <f ca="1">IFERROR(__xludf.DUMMYFUNCTION("""COMPUTED_VALUE"""),"#N/A")</f>
        <v>#N/A</v>
      </c>
    </row>
    <row r="2658" spans="1:35" ht="12.75">
      <c r="A2658" s="6"/>
      <c r="B2658" s="6"/>
      <c r="C2658" s="6"/>
      <c r="D2658" s="10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 t="str">
        <f ca="1">IFERROR(__xludf.DUMMYFUNCTION("""COMPUTED_VALUE"""),"#N/A")</f>
        <v>#N/A</v>
      </c>
    </row>
    <row r="2659" spans="1:35" ht="12.75">
      <c r="A2659" s="6"/>
      <c r="B2659" s="6"/>
      <c r="C2659" s="6"/>
      <c r="D2659" s="10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 t="str">
        <f ca="1">IFERROR(__xludf.DUMMYFUNCTION("""COMPUTED_VALUE"""),"#N/A")</f>
        <v>#N/A</v>
      </c>
    </row>
    <row r="2660" spans="1:35" ht="12.75">
      <c r="A2660" s="6"/>
      <c r="B2660" s="6"/>
      <c r="C2660" s="6"/>
      <c r="D2660" s="10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 t="str">
        <f ca="1">IFERROR(__xludf.DUMMYFUNCTION("""COMPUTED_VALUE"""),"#N/A")</f>
        <v>#N/A</v>
      </c>
    </row>
    <row r="2661" spans="1:35" ht="12.75">
      <c r="A2661" s="6"/>
      <c r="B2661" s="6"/>
      <c r="C2661" s="6"/>
      <c r="D2661" s="10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 t="str">
        <f ca="1">IFERROR(__xludf.DUMMYFUNCTION("""COMPUTED_VALUE"""),"#N/A")</f>
        <v>#N/A</v>
      </c>
    </row>
    <row r="2662" spans="1:35" ht="12.75">
      <c r="A2662" s="6"/>
      <c r="B2662" s="6"/>
      <c r="C2662" s="6"/>
      <c r="D2662" s="10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 t="str">
        <f ca="1">IFERROR(__xludf.DUMMYFUNCTION("""COMPUTED_VALUE"""),"#N/A")</f>
        <v>#N/A</v>
      </c>
    </row>
    <row r="2663" spans="1:35" ht="12.75">
      <c r="A2663" s="6"/>
      <c r="B2663" s="6"/>
      <c r="C2663" s="6"/>
      <c r="D2663" s="10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 t="str">
        <f ca="1">IFERROR(__xludf.DUMMYFUNCTION("""COMPUTED_VALUE"""),"#N/A")</f>
        <v>#N/A</v>
      </c>
    </row>
    <row r="2664" spans="1:35" ht="12.75">
      <c r="A2664" s="6"/>
      <c r="B2664" s="6"/>
      <c r="C2664" s="6"/>
      <c r="D2664" s="10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 t="str">
        <f ca="1">IFERROR(__xludf.DUMMYFUNCTION("""COMPUTED_VALUE"""),"#N/A")</f>
        <v>#N/A</v>
      </c>
    </row>
    <row r="2665" spans="1:35" ht="12.75">
      <c r="A2665" s="6"/>
      <c r="B2665" s="6" t="str">
        <f ca="1">IFERROR(__xludf.DUMMYFUNCTION("""COMPUTED_VALUE"""),"")</f>
        <v/>
      </c>
      <c r="C2665" s="6"/>
      <c r="D2665" s="10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</row>
    <row r="2666" spans="1:35" ht="12.75">
      <c r="A2666" s="6"/>
      <c r="B2666" s="6" t="str">
        <f ca="1">IFERROR(__xludf.DUMMYFUNCTION("""COMPUTED_VALUE"""),"")</f>
        <v/>
      </c>
      <c r="C2666" s="6"/>
      <c r="D2666" s="10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</row>
    <row r="2667" spans="1:35" ht="12.75">
      <c r="A2667" s="6"/>
      <c r="B2667" s="6" t="str">
        <f ca="1">IFERROR(__xludf.DUMMYFUNCTION("""COMPUTED_VALUE"""),"")</f>
        <v/>
      </c>
      <c r="C2667" s="6"/>
      <c r="D2667" s="10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</row>
    <row r="2668" spans="1:35" ht="12.75">
      <c r="A2668" s="6"/>
      <c r="B2668" s="6" t="str">
        <f ca="1">IFERROR(__xludf.DUMMYFUNCTION("""COMPUTED_VALUE"""),"")</f>
        <v/>
      </c>
      <c r="C2668" s="6"/>
      <c r="D2668" s="10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</row>
    <row r="2669" spans="1:35" ht="12.75">
      <c r="A2669" s="6"/>
      <c r="B2669" s="6" t="str">
        <f ca="1">IFERROR(__xludf.DUMMYFUNCTION("""COMPUTED_VALUE"""),"")</f>
        <v/>
      </c>
      <c r="C2669" s="6"/>
      <c r="D2669" s="10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</row>
    <row r="2670" spans="1:35" ht="12.75">
      <c r="A2670" s="6"/>
      <c r="B2670" s="6" t="str">
        <f ca="1">IFERROR(__xludf.DUMMYFUNCTION("""COMPUTED_VALUE"""),"")</f>
        <v/>
      </c>
      <c r="C2670" s="6"/>
      <c r="D2670" s="10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</row>
    <row r="2671" spans="1:35" ht="12.75">
      <c r="A2671" s="6"/>
      <c r="B2671" s="6" t="str">
        <f ca="1">IFERROR(__xludf.DUMMYFUNCTION("""COMPUTED_VALUE"""),"")</f>
        <v/>
      </c>
      <c r="C2671" s="6"/>
      <c r="D2671" s="10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</row>
    <row r="2672" spans="1:35" ht="12.75">
      <c r="A2672" s="6"/>
      <c r="B2672" s="6" t="str">
        <f ca="1">IFERROR(__xludf.DUMMYFUNCTION("""COMPUTED_VALUE"""),"")</f>
        <v/>
      </c>
      <c r="C2672" s="6"/>
      <c r="D2672" s="10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</row>
    <row r="2673" spans="1:35" ht="12.75">
      <c r="A2673" s="6"/>
      <c r="B2673" s="6"/>
      <c r="C2673" s="6"/>
      <c r="D2673" s="10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</row>
    <row r="2674" spans="1:35" ht="12.75">
      <c r="A2674" s="6"/>
      <c r="B2674" s="6"/>
      <c r="C2674" s="6"/>
      <c r="D2674" s="10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</row>
    <row r="2675" spans="1:35" ht="12.75">
      <c r="A2675" s="6"/>
      <c r="B2675" s="6"/>
      <c r="C2675" s="6"/>
      <c r="D2675" s="10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</row>
    <row r="2676" spans="1:35" ht="12.75">
      <c r="A2676" s="6"/>
      <c r="B2676" s="6"/>
      <c r="C2676" s="6"/>
      <c r="D2676" s="10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</row>
    <row r="2677" spans="1:35" ht="12.75">
      <c r="A2677" s="6"/>
      <c r="B2677" s="6"/>
      <c r="C2677" s="6"/>
      <c r="D2677" s="10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</row>
    <row r="2678" spans="1:35" ht="12.75">
      <c r="A2678" s="6"/>
      <c r="B2678" s="6"/>
      <c r="C2678" s="6"/>
      <c r="D2678" s="10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</row>
    <row r="2679" spans="1:35" ht="12.75">
      <c r="A2679" s="6"/>
      <c r="B2679" s="6"/>
      <c r="C2679" s="6"/>
      <c r="D2679" s="10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</row>
    <row r="2680" spans="1:35" ht="12.75">
      <c r="A2680" s="6"/>
      <c r="B2680" s="6"/>
      <c r="C2680" s="6"/>
      <c r="D2680" s="10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</row>
    <row r="2681" spans="1:35" ht="12.75">
      <c r="A2681" s="6"/>
      <c r="B2681" s="6"/>
      <c r="C2681" s="6"/>
      <c r="D2681" s="10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</row>
    <row r="2682" spans="1:35" ht="12.75">
      <c r="A2682" s="6"/>
      <c r="B2682" s="6"/>
      <c r="C2682" s="6"/>
      <c r="D2682" s="10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</row>
    <row r="2683" spans="1:35" ht="12.75">
      <c r="A2683" s="6"/>
      <c r="B2683" s="6"/>
      <c r="C2683" s="6"/>
      <c r="D2683" s="10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</row>
    <row r="2684" spans="1:35" ht="12.75">
      <c r="A2684" s="6"/>
      <c r="B2684" s="6"/>
      <c r="C2684" s="6"/>
      <c r="D2684" s="10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</row>
    <row r="2685" spans="1:35" ht="12.75">
      <c r="A2685" s="6"/>
      <c r="B2685" s="6"/>
      <c r="C2685" s="6"/>
      <c r="D2685" s="10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</row>
    <row r="2686" spans="1:35" ht="12.75">
      <c r="A2686" s="6"/>
      <c r="B2686" s="6"/>
      <c r="C2686" s="6"/>
      <c r="D2686" s="10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</row>
    <row r="2687" spans="1:35" ht="12.75">
      <c r="A2687" s="6"/>
      <c r="B2687" s="6"/>
      <c r="C2687" s="6"/>
      <c r="D2687" s="10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</row>
    <row r="2688" spans="1:35" ht="12.75">
      <c r="A2688" s="6"/>
      <c r="B2688" s="6"/>
      <c r="C2688" s="6"/>
      <c r="D2688" s="10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</row>
    <row r="2689" spans="1:35" ht="12.75">
      <c r="A2689" s="6"/>
      <c r="B2689" s="6"/>
      <c r="C2689" s="6"/>
      <c r="D2689" s="10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</row>
    <row r="2690" spans="1:35" ht="12.75">
      <c r="A2690" s="6"/>
      <c r="B2690" s="6"/>
      <c r="C2690" s="6"/>
      <c r="D2690" s="10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</row>
    <row r="2691" spans="1:35" ht="12.75">
      <c r="A2691" s="6"/>
      <c r="B2691" s="6"/>
      <c r="C2691" s="6"/>
      <c r="D2691" s="10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</row>
    <row r="2692" spans="1:35" ht="12.75">
      <c r="A2692" s="6"/>
      <c r="B2692" s="6"/>
      <c r="C2692" s="6"/>
      <c r="D2692" s="10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</row>
    <row r="2693" spans="1:35" ht="12.75">
      <c r="A2693" s="6"/>
      <c r="B2693" s="6"/>
      <c r="C2693" s="6"/>
      <c r="D2693" s="10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</row>
    <row r="2694" spans="1:35" ht="12.75">
      <c r="A2694" s="6"/>
      <c r="B2694" s="6"/>
      <c r="C2694" s="6"/>
      <c r="D2694" s="10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</row>
    <row r="2695" spans="1:35" ht="12.75">
      <c r="A2695" s="6"/>
      <c r="B2695" s="6"/>
      <c r="C2695" s="6"/>
      <c r="D2695" s="10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</row>
    <row r="2696" spans="1:35" ht="12.75">
      <c r="A2696" s="6"/>
      <c r="B2696" s="6"/>
      <c r="C2696" s="6"/>
      <c r="D2696" s="10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</row>
    <row r="2697" spans="1:35" ht="12.75">
      <c r="A2697" s="6"/>
      <c r="B2697" s="6"/>
      <c r="C2697" s="6"/>
      <c r="D2697" s="10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</row>
    <row r="2698" spans="1:35" ht="12.75">
      <c r="A2698" s="6"/>
      <c r="B2698" s="6"/>
      <c r="C2698" s="6"/>
      <c r="D2698" s="10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</row>
    <row r="2699" spans="1:35" ht="12.75">
      <c r="A2699" s="6"/>
      <c r="B2699" s="6"/>
      <c r="C2699" s="6"/>
      <c r="D2699" s="10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</row>
    <row r="2700" spans="1:35" ht="12.75">
      <c r="A2700" s="6"/>
      <c r="B2700" s="6"/>
      <c r="C2700" s="6"/>
      <c r="D2700" s="10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</row>
    <row r="2701" spans="1:35" ht="12.75">
      <c r="A2701" s="6"/>
      <c r="B2701" s="6"/>
      <c r="C2701" s="6"/>
      <c r="D2701" s="10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</row>
    <row r="2702" spans="1:35" ht="12.75">
      <c r="A2702" s="6"/>
      <c r="B2702" s="6"/>
      <c r="C2702" s="6"/>
      <c r="D2702" s="10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</row>
    <row r="2703" spans="1:35" ht="12.75">
      <c r="A2703" s="6"/>
      <c r="B2703" s="6"/>
      <c r="C2703" s="6"/>
      <c r="D2703" s="10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</row>
    <row r="2704" spans="1:35" ht="12.75">
      <c r="A2704" s="6"/>
      <c r="B2704" s="6"/>
      <c r="C2704" s="6"/>
      <c r="D2704" s="10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</row>
    <row r="2705" spans="1:35" ht="12.75">
      <c r="A2705" s="6"/>
      <c r="B2705" s="6"/>
      <c r="C2705" s="6"/>
      <c r="D2705" s="10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</row>
    <row r="2706" spans="1:35" ht="12.75">
      <c r="A2706" s="6"/>
      <c r="B2706" s="6"/>
      <c r="C2706" s="6"/>
      <c r="D2706" s="10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</row>
    <row r="2707" spans="1:35" ht="12.75">
      <c r="A2707" s="6"/>
      <c r="B2707" s="6"/>
      <c r="C2707" s="6"/>
      <c r="D2707" s="10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</row>
    <row r="2708" spans="1:35" ht="12.75">
      <c r="A2708" s="6"/>
      <c r="B2708" s="6"/>
      <c r="C2708" s="6"/>
      <c r="D2708" s="10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</row>
    <row r="2709" spans="1:35" ht="12.75">
      <c r="A2709" s="6"/>
      <c r="B2709" s="6"/>
      <c r="C2709" s="6"/>
      <c r="D2709" s="10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</row>
    <row r="2710" spans="1:35" ht="12.75">
      <c r="A2710" s="6"/>
      <c r="B2710" s="6"/>
      <c r="C2710" s="6"/>
      <c r="D2710" s="10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</row>
    <row r="2711" spans="1:35" ht="12.75">
      <c r="A2711" s="6"/>
      <c r="B2711" s="6"/>
      <c r="C2711" s="6"/>
      <c r="D2711" s="10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</row>
    <row r="2712" spans="1:35" ht="12.75">
      <c r="A2712" s="6"/>
      <c r="B2712" s="6"/>
      <c r="C2712" s="6"/>
      <c r="D2712" s="10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</row>
    <row r="2713" spans="1:35" ht="12.75">
      <c r="A2713" s="6"/>
      <c r="B2713" s="6"/>
      <c r="C2713" s="6"/>
      <c r="D2713" s="10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</row>
    <row r="2714" spans="1:35" ht="12.75">
      <c r="A2714" s="6"/>
      <c r="B2714" s="6"/>
      <c r="C2714" s="6"/>
      <c r="D2714" s="10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</row>
    <row r="2715" spans="1:35" ht="12.75">
      <c r="A2715" s="6"/>
      <c r="B2715" s="6"/>
      <c r="C2715" s="6"/>
      <c r="D2715" s="10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</row>
    <row r="2716" spans="1:35" ht="12.75">
      <c r="A2716" s="6"/>
      <c r="B2716" s="6"/>
      <c r="C2716" s="6"/>
      <c r="D2716" s="10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</row>
    <row r="2717" spans="1:35" ht="12.75">
      <c r="A2717" s="6"/>
      <c r="B2717" s="6"/>
      <c r="C2717" s="6"/>
      <c r="D2717" s="10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</row>
    <row r="2718" spans="1:35" ht="12.75">
      <c r="A2718" s="6"/>
      <c r="B2718" s="6"/>
      <c r="C2718" s="6"/>
      <c r="D2718" s="10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</row>
    <row r="2719" spans="1:35" ht="12.75">
      <c r="A2719" s="6"/>
      <c r="B2719" s="6"/>
      <c r="C2719" s="6"/>
      <c r="D2719" s="10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</row>
    <row r="2720" spans="1:35" ht="12.75">
      <c r="A2720" s="6"/>
      <c r="B2720" s="6"/>
      <c r="C2720" s="6"/>
      <c r="D2720" s="10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</row>
    <row r="2721" spans="1:35" ht="12.75">
      <c r="A2721" s="6"/>
      <c r="B2721" s="6"/>
      <c r="C2721" s="6"/>
      <c r="D2721" s="10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</row>
    <row r="2722" spans="1:35" ht="12.75">
      <c r="A2722" s="6"/>
      <c r="B2722" s="6"/>
      <c r="C2722" s="6"/>
      <c r="D2722" s="10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</row>
    <row r="2723" spans="1:35" ht="12.75">
      <c r="A2723" s="6"/>
      <c r="B2723" s="6"/>
      <c r="C2723" s="6"/>
      <c r="D2723" s="10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</row>
    <row r="2724" spans="1:35" ht="12.75">
      <c r="A2724" s="6"/>
      <c r="B2724" s="6"/>
      <c r="C2724" s="6"/>
      <c r="D2724" s="10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</row>
    <row r="2725" spans="1:35" ht="12.75">
      <c r="A2725" s="6"/>
      <c r="B2725" s="6"/>
      <c r="C2725" s="6"/>
      <c r="D2725" s="10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</row>
    <row r="2726" spans="1:35" ht="12.75">
      <c r="A2726" s="6"/>
      <c r="B2726" s="6"/>
      <c r="C2726" s="6"/>
      <c r="D2726" s="10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</row>
    <row r="2727" spans="1:35" ht="12.75">
      <c r="A2727" s="6"/>
      <c r="B2727" s="6"/>
      <c r="C2727" s="6"/>
      <c r="D2727" s="10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</row>
    <row r="2728" spans="1:35" ht="12.75">
      <c r="A2728" s="6"/>
      <c r="B2728" s="6"/>
      <c r="C2728" s="6"/>
      <c r="D2728" s="10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</row>
    <row r="2729" spans="1:35" ht="12.75">
      <c r="A2729" s="6"/>
      <c r="B2729" s="6"/>
      <c r="C2729" s="6"/>
      <c r="D2729" s="10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</row>
    <row r="2730" spans="1:35" ht="12.75">
      <c r="A2730" s="6"/>
      <c r="B2730" s="6"/>
      <c r="C2730" s="6"/>
      <c r="D2730" s="10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</row>
    <row r="2731" spans="1:35" ht="12.75">
      <c r="A2731" s="6"/>
      <c r="B2731" s="6"/>
      <c r="C2731" s="6"/>
      <c r="D2731" s="10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</row>
    <row r="2732" spans="1:35" ht="12.75">
      <c r="A2732" s="6"/>
      <c r="B2732" s="6"/>
      <c r="C2732" s="6"/>
      <c r="D2732" s="10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</row>
    <row r="2733" spans="1:35" ht="12.75">
      <c r="A2733" s="6"/>
      <c r="B2733" s="6"/>
      <c r="C2733" s="6"/>
      <c r="D2733" s="10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</row>
    <row r="2734" spans="1:35" ht="12.75">
      <c r="A2734" s="6"/>
      <c r="B2734" s="6"/>
      <c r="C2734" s="6"/>
      <c r="D2734" s="10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</row>
    <row r="2735" spans="1:35" ht="12.75">
      <c r="A2735" s="6"/>
      <c r="B2735" s="6"/>
      <c r="C2735" s="6"/>
      <c r="D2735" s="10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</row>
    <row r="2736" spans="1:35" ht="12.75">
      <c r="A2736" s="6"/>
      <c r="B2736" s="6"/>
      <c r="C2736" s="6"/>
      <c r="D2736" s="10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</row>
    <row r="2737" spans="1:35" ht="12.75">
      <c r="A2737" s="6"/>
      <c r="B2737" s="6"/>
      <c r="C2737" s="6"/>
      <c r="D2737" s="10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</row>
    <row r="2738" spans="1:35" ht="12.75">
      <c r="A2738" s="6"/>
      <c r="B2738" s="6"/>
      <c r="C2738" s="6"/>
      <c r="D2738" s="10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</row>
    <row r="2739" spans="1:35" ht="12.75">
      <c r="A2739" s="6"/>
      <c r="B2739" s="6"/>
      <c r="C2739" s="6"/>
      <c r="D2739" s="10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</row>
    <row r="2740" spans="1:35" ht="12.75">
      <c r="A2740" s="6"/>
      <c r="B2740" s="6"/>
      <c r="C2740" s="6"/>
      <c r="D2740" s="10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</row>
    <row r="2741" spans="1:35" ht="12.75">
      <c r="A2741" s="6"/>
      <c r="B2741" s="6"/>
      <c r="C2741" s="6"/>
      <c r="D2741" s="10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</row>
    <row r="2742" spans="1:35" ht="12.75">
      <c r="A2742" s="6"/>
      <c r="B2742" s="6"/>
      <c r="C2742" s="6"/>
      <c r="D2742" s="10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</row>
    <row r="2743" spans="1:35" ht="12.75">
      <c r="A2743" s="6"/>
      <c r="B2743" s="6"/>
      <c r="C2743" s="6"/>
      <c r="D2743" s="10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</row>
    <row r="2744" spans="1:35" ht="12.75">
      <c r="A2744" s="6"/>
      <c r="B2744" s="6"/>
      <c r="C2744" s="6"/>
      <c r="D2744" s="10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</row>
    <row r="2745" spans="1:35" ht="12.75">
      <c r="A2745" s="6"/>
      <c r="B2745" s="6"/>
      <c r="C2745" s="6"/>
      <c r="D2745" s="10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</row>
    <row r="2746" spans="1:35" ht="12.75">
      <c r="A2746" s="6"/>
      <c r="B2746" s="6"/>
      <c r="C2746" s="6"/>
      <c r="D2746" s="10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</row>
    <row r="2747" spans="1:35" ht="12.75">
      <c r="A2747" s="6"/>
      <c r="B2747" s="6"/>
      <c r="C2747" s="6"/>
      <c r="D2747" s="10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</row>
    <row r="2748" spans="1:35" ht="12.75">
      <c r="A2748" s="6"/>
      <c r="B2748" s="6"/>
      <c r="C2748" s="6"/>
      <c r="D2748" s="10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</row>
    <row r="2749" spans="1:35" ht="12.75">
      <c r="A2749" s="6"/>
      <c r="B2749" s="6"/>
      <c r="C2749" s="6"/>
      <c r="D2749" s="10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</row>
    <row r="2750" spans="1:35" ht="12.75">
      <c r="A2750" s="6"/>
      <c r="B2750" s="6"/>
      <c r="C2750" s="6"/>
      <c r="D2750" s="10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</row>
    <row r="2751" spans="1:35" ht="12.75">
      <c r="A2751" s="6"/>
      <c r="B2751" s="6"/>
      <c r="C2751" s="6"/>
      <c r="D2751" s="10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</row>
    <row r="2752" spans="1:35" ht="12.75">
      <c r="A2752" s="6"/>
      <c r="B2752" s="6"/>
      <c r="C2752" s="6"/>
      <c r="D2752" s="10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</row>
    <row r="2753" spans="1:35" ht="12.75">
      <c r="A2753" s="6"/>
      <c r="B2753" s="6"/>
      <c r="C2753" s="6"/>
      <c r="D2753" s="10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</row>
    <row r="2754" spans="1:35" ht="12.75">
      <c r="A2754" s="6"/>
      <c r="B2754" s="6"/>
      <c r="C2754" s="6"/>
      <c r="D2754" s="10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</row>
    <row r="2755" spans="1:35" ht="12.75">
      <c r="A2755" s="6"/>
      <c r="B2755" s="6"/>
      <c r="C2755" s="6"/>
      <c r="D2755" s="10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</row>
    <row r="2756" spans="1:35" ht="12.75">
      <c r="A2756" s="6"/>
      <c r="B2756" s="6"/>
      <c r="C2756" s="6"/>
      <c r="D2756" s="10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</row>
    <row r="2757" spans="1:35" ht="12.75">
      <c r="A2757" s="6"/>
      <c r="B2757" s="6"/>
      <c r="C2757" s="6"/>
      <c r="D2757" s="10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</row>
    <row r="2758" spans="1:35" ht="12.75">
      <c r="A2758" s="6"/>
      <c r="B2758" s="6"/>
      <c r="C2758" s="6"/>
      <c r="D2758" s="10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</row>
    <row r="2759" spans="1:35" ht="12.75">
      <c r="A2759" s="6"/>
      <c r="B2759" s="6"/>
      <c r="C2759" s="6"/>
      <c r="D2759" s="10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</row>
    <row r="2760" spans="1:35" ht="12.75">
      <c r="A2760" s="6"/>
      <c r="B2760" s="6"/>
      <c r="C2760" s="6"/>
      <c r="D2760" s="10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</row>
    <row r="2761" spans="1:35" ht="12.75">
      <c r="A2761" s="6"/>
      <c r="B2761" s="6"/>
      <c r="C2761" s="6"/>
      <c r="D2761" s="10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</row>
    <row r="2762" spans="1:35" ht="12.75">
      <c r="A2762" s="6"/>
      <c r="B2762" s="6"/>
      <c r="C2762" s="6"/>
      <c r="D2762" s="10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</row>
    <row r="2763" spans="1:35" ht="12.75">
      <c r="A2763" s="6"/>
      <c r="B2763" s="6"/>
      <c r="C2763" s="6"/>
      <c r="D2763" s="10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</row>
    <row r="2764" spans="1:35" ht="12.75">
      <c r="A2764" s="6"/>
      <c r="B2764" s="6"/>
      <c r="C2764" s="6"/>
      <c r="D2764" s="10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</row>
    <row r="2765" spans="1:35" ht="12.75">
      <c r="A2765" s="6"/>
      <c r="B2765" s="6"/>
      <c r="C2765" s="6"/>
      <c r="D2765" s="10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</row>
    <row r="2766" spans="1:35" ht="12.75">
      <c r="A2766" s="6"/>
      <c r="B2766" s="6"/>
      <c r="C2766" s="6"/>
      <c r="D2766" s="10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</row>
    <row r="2767" spans="1:35" ht="12.75">
      <c r="A2767" s="6"/>
      <c r="B2767" s="6"/>
      <c r="C2767" s="6"/>
      <c r="D2767" s="10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</row>
    <row r="2768" spans="1:35" ht="12.75">
      <c r="A2768" s="6"/>
      <c r="B2768" s="6"/>
      <c r="C2768" s="6"/>
      <c r="D2768" s="10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</row>
    <row r="2769" spans="1:35" ht="12.75">
      <c r="A2769" s="6"/>
      <c r="B2769" s="6"/>
      <c r="C2769" s="6"/>
      <c r="D2769" s="10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</row>
    <row r="2770" spans="1:35" ht="12.75">
      <c r="A2770" s="6"/>
      <c r="B2770" s="6"/>
      <c r="C2770" s="6"/>
      <c r="D2770" s="10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</row>
    <row r="2771" spans="1:35" ht="12.75">
      <c r="A2771" s="6"/>
      <c r="B2771" s="6"/>
      <c r="C2771" s="6"/>
      <c r="D2771" s="10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</row>
    <row r="2772" spans="1:35" ht="12.75">
      <c r="A2772" s="6"/>
      <c r="B2772" s="6"/>
      <c r="C2772" s="6"/>
      <c r="D2772" s="10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</row>
    <row r="2773" spans="1:35" ht="12.75">
      <c r="A2773" s="6"/>
      <c r="B2773" s="6"/>
      <c r="C2773" s="6"/>
      <c r="D2773" s="10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</row>
    <row r="2774" spans="1:35" ht="12.75">
      <c r="A2774" s="6"/>
      <c r="B2774" s="6"/>
      <c r="C2774" s="6"/>
      <c r="D2774" s="10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</row>
    <row r="2775" spans="1:35" ht="12.75">
      <c r="A2775" s="6"/>
      <c r="B2775" s="6"/>
      <c r="C2775" s="6"/>
      <c r="D2775" s="10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</row>
    <row r="2776" spans="1:35" ht="12.75">
      <c r="A2776" s="6"/>
      <c r="B2776" s="6"/>
      <c r="C2776" s="6"/>
      <c r="D2776" s="10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</row>
    <row r="2777" spans="1:35" ht="12.75">
      <c r="A2777" s="6"/>
      <c r="B2777" s="6"/>
      <c r="C2777" s="6"/>
      <c r="D2777" s="10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</row>
    <row r="2778" spans="1:35" ht="12.75">
      <c r="A2778" s="6"/>
      <c r="B2778" s="6"/>
      <c r="C2778" s="6"/>
      <c r="D2778" s="10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</row>
    <row r="2779" spans="1:35" ht="12.75">
      <c r="A2779" s="6"/>
      <c r="B2779" s="6"/>
      <c r="C2779" s="6"/>
      <c r="D2779" s="10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</row>
    <row r="2780" spans="1:35" ht="12.75">
      <c r="A2780" s="6"/>
      <c r="B2780" s="6"/>
      <c r="C2780" s="6"/>
      <c r="D2780" s="10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</row>
    <row r="2781" spans="1:35" ht="12.75">
      <c r="A2781" s="6"/>
      <c r="B2781" s="6"/>
      <c r="C2781" s="6"/>
      <c r="D2781" s="10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</row>
    <row r="2782" spans="1:35" ht="12.75">
      <c r="A2782" s="6"/>
      <c r="B2782" s="6"/>
      <c r="C2782" s="6"/>
      <c r="D2782" s="10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</row>
    <row r="2783" spans="1:35" ht="12.75">
      <c r="A2783" s="6"/>
      <c r="B2783" s="6"/>
      <c r="C2783" s="6"/>
      <c r="D2783" s="10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</row>
    <row r="2784" spans="1:35" ht="12.75">
      <c r="A2784" s="6"/>
      <c r="B2784" s="6"/>
      <c r="C2784" s="6"/>
      <c r="D2784" s="10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</row>
    <row r="2785" spans="1:35" ht="12.75">
      <c r="A2785" s="6"/>
      <c r="B2785" s="6"/>
      <c r="C2785" s="6"/>
      <c r="D2785" s="10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</row>
    <row r="2786" spans="1:35" ht="12.75">
      <c r="A2786" s="6"/>
      <c r="B2786" s="6"/>
      <c r="C2786" s="6"/>
      <c r="D2786" s="10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</row>
    <row r="2787" spans="1:35" ht="12.75">
      <c r="A2787" s="6"/>
      <c r="B2787" s="6"/>
      <c r="C2787" s="6"/>
      <c r="D2787" s="10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</row>
    <row r="2788" spans="1:35" ht="12.75">
      <c r="A2788" s="6"/>
      <c r="B2788" s="6"/>
      <c r="C2788" s="6"/>
      <c r="D2788" s="10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</row>
    <row r="2789" spans="1:35" ht="12.75">
      <c r="A2789" s="6"/>
      <c r="B2789" s="6"/>
      <c r="C2789" s="6"/>
      <c r="D2789" s="10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</row>
    <row r="2790" spans="1:35" ht="12.75">
      <c r="A2790" s="6"/>
      <c r="B2790" s="6"/>
      <c r="C2790" s="6"/>
      <c r="D2790" s="10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</row>
    <row r="2791" spans="1:35" ht="12.75">
      <c r="A2791" s="6"/>
      <c r="B2791" s="6"/>
      <c r="C2791" s="6"/>
      <c r="D2791" s="10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</row>
    <row r="2792" spans="1:35" ht="12.75">
      <c r="A2792" s="6"/>
      <c r="B2792" s="6"/>
      <c r="C2792" s="6"/>
      <c r="D2792" s="10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</row>
    <row r="2793" spans="1:35" ht="12.75">
      <c r="A2793" s="6"/>
      <c r="B2793" s="6"/>
      <c r="C2793" s="6"/>
      <c r="D2793" s="10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</row>
    <row r="2794" spans="1:35" ht="12.75">
      <c r="A2794" s="6"/>
      <c r="B2794" s="6"/>
      <c r="C2794" s="6"/>
      <c r="D2794" s="10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</row>
    <row r="2795" spans="1:35" ht="12.75">
      <c r="A2795" s="6"/>
      <c r="B2795" s="6"/>
      <c r="C2795" s="6"/>
      <c r="D2795" s="10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</row>
    <row r="2796" spans="1:35" ht="12.75">
      <c r="A2796" s="6"/>
      <c r="B2796" s="6"/>
      <c r="C2796" s="6"/>
      <c r="D2796" s="10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</row>
    <row r="2797" spans="1:35" ht="12.75">
      <c r="A2797" s="6"/>
      <c r="B2797" s="6"/>
      <c r="C2797" s="6"/>
      <c r="D2797" s="10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</row>
    <row r="2798" spans="1:35" ht="12.75">
      <c r="A2798" s="6"/>
      <c r="B2798" s="6"/>
      <c r="C2798" s="6"/>
      <c r="D2798" s="10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</row>
    <row r="2799" spans="1:35" ht="12.75">
      <c r="A2799" s="6"/>
      <c r="B2799" s="6"/>
      <c r="C2799" s="6"/>
      <c r="D2799" s="10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</row>
    <row r="2800" spans="1:35" ht="12.75">
      <c r="A2800" s="6"/>
      <c r="B2800" s="6"/>
      <c r="C2800" s="6"/>
      <c r="D2800" s="10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</row>
    <row r="2801" spans="1:35" ht="12.75">
      <c r="A2801" s="6"/>
      <c r="B2801" s="6"/>
      <c r="C2801" s="6"/>
      <c r="D2801" s="10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</row>
    <row r="2802" spans="1:35" ht="12.75">
      <c r="A2802" s="6"/>
      <c r="B2802" s="6"/>
      <c r="C2802" s="6"/>
      <c r="D2802" s="10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</row>
    <row r="2803" spans="1:35" ht="12.75">
      <c r="A2803" s="6"/>
      <c r="B2803" s="6"/>
      <c r="C2803" s="6"/>
      <c r="D2803" s="10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</row>
    <row r="2804" spans="1:35" ht="12.75">
      <c r="A2804" s="6"/>
      <c r="B2804" s="6"/>
      <c r="C2804" s="6"/>
      <c r="D2804" s="10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</row>
    <row r="2805" spans="1:35" ht="12.75">
      <c r="A2805" s="6"/>
      <c r="B2805" s="6"/>
      <c r="C2805" s="6"/>
      <c r="D2805" s="10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</row>
    <row r="2806" spans="1:35" ht="12.75">
      <c r="A2806" s="6"/>
      <c r="B2806" s="6"/>
      <c r="C2806" s="6"/>
      <c r="D2806" s="10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</row>
    <row r="2807" spans="1:35" ht="12.75">
      <c r="A2807" s="6"/>
      <c r="B2807" s="6"/>
      <c r="C2807" s="6"/>
      <c r="D2807" s="10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</row>
    <row r="2808" spans="1:35" ht="12.75">
      <c r="A2808" s="6"/>
      <c r="B2808" s="6"/>
      <c r="C2808" s="6"/>
      <c r="D2808" s="10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</row>
    <row r="2809" spans="1:35" ht="12.75">
      <c r="A2809" s="6"/>
      <c r="B2809" s="6"/>
      <c r="C2809" s="6"/>
      <c r="D2809" s="10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</row>
    <row r="2810" spans="1:35" ht="12.75">
      <c r="A2810" s="6"/>
      <c r="B2810" s="6"/>
      <c r="C2810" s="6"/>
      <c r="D2810" s="10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</row>
    <row r="2811" spans="1:35" ht="12.75">
      <c r="A2811" s="6"/>
      <c r="B2811" s="6"/>
      <c r="C2811" s="6"/>
      <c r="D2811" s="10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</row>
    <row r="2812" spans="1:35" ht="12.75">
      <c r="A2812" s="6"/>
      <c r="B2812" s="6"/>
      <c r="C2812" s="6"/>
      <c r="D2812" s="10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</row>
    <row r="2813" spans="1:35" ht="12.75">
      <c r="A2813" s="6"/>
      <c r="B2813" s="6"/>
      <c r="C2813" s="6"/>
      <c r="D2813" s="10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</row>
    <row r="2814" spans="1:35" ht="12.75">
      <c r="A2814" s="6"/>
      <c r="B2814" s="6"/>
      <c r="C2814" s="6"/>
      <c r="D2814" s="10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</row>
    <row r="2815" spans="1:35" ht="12.75">
      <c r="A2815" s="6"/>
      <c r="B2815" s="6"/>
      <c r="C2815" s="6"/>
      <c r="D2815" s="10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</row>
    <row r="2816" spans="1:35" ht="12.75">
      <c r="A2816" s="6"/>
      <c r="B2816" s="6"/>
      <c r="C2816" s="6"/>
      <c r="D2816" s="10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</row>
    <row r="2817" spans="1:35" ht="12.75">
      <c r="A2817" s="6"/>
      <c r="B2817" s="6"/>
      <c r="C2817" s="6"/>
      <c r="D2817" s="10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</row>
    <row r="2818" spans="1:35" ht="12.75">
      <c r="A2818" s="6"/>
      <c r="B2818" s="6"/>
      <c r="C2818" s="6"/>
      <c r="D2818" s="10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</row>
    <row r="2819" spans="1:35" ht="12.75">
      <c r="A2819" s="6"/>
      <c r="B2819" s="6"/>
      <c r="C2819" s="6"/>
      <c r="D2819" s="10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</row>
    <row r="2820" spans="1:35" ht="12.75">
      <c r="A2820" s="6"/>
      <c r="B2820" s="6"/>
      <c r="C2820" s="6"/>
      <c r="D2820" s="10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</row>
    <row r="2821" spans="1:35" ht="12.75">
      <c r="A2821" s="6"/>
      <c r="B2821" s="6"/>
      <c r="C2821" s="6"/>
      <c r="D2821" s="10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</row>
    <row r="2822" spans="1:35" ht="12.75">
      <c r="A2822" s="6"/>
      <c r="B2822" s="6"/>
      <c r="C2822" s="6"/>
      <c r="D2822" s="10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</row>
    <row r="2823" spans="1:35" ht="12.75">
      <c r="A2823" s="6"/>
      <c r="B2823" s="6"/>
      <c r="C2823" s="6"/>
      <c r="D2823" s="10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</row>
    <row r="2824" spans="1:35" ht="12.75">
      <c r="A2824" s="6"/>
      <c r="B2824" s="6"/>
      <c r="C2824" s="6"/>
      <c r="D2824" s="10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</row>
    <row r="2825" spans="1:35" ht="12.75">
      <c r="A2825" s="6"/>
      <c r="B2825" s="6"/>
      <c r="C2825" s="6"/>
      <c r="D2825" s="10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</row>
    <row r="2826" spans="1:35" ht="12.75">
      <c r="A2826" s="6"/>
      <c r="B2826" s="6"/>
      <c r="C2826" s="6"/>
      <c r="D2826" s="10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</row>
    <row r="2827" spans="1:35" ht="12.75">
      <c r="A2827" s="6"/>
      <c r="B2827" s="6"/>
      <c r="C2827" s="6"/>
      <c r="D2827" s="10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</row>
    <row r="2828" spans="1:35" ht="12.75">
      <c r="A2828" s="6"/>
      <c r="B2828" s="6"/>
      <c r="C2828" s="6"/>
      <c r="D2828" s="10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</row>
    <row r="2829" spans="1:35" ht="12.75">
      <c r="A2829" s="6"/>
      <c r="B2829" s="6"/>
      <c r="C2829" s="6"/>
      <c r="D2829" s="10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</row>
    <row r="2830" spans="1:35" ht="12.75">
      <c r="A2830" s="6"/>
      <c r="B2830" s="6"/>
      <c r="C2830" s="6"/>
      <c r="D2830" s="10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</row>
    <row r="2831" spans="1:35" ht="12.75">
      <c r="A2831" s="6"/>
      <c r="B2831" s="6"/>
      <c r="C2831" s="6"/>
      <c r="D2831" s="10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</row>
    <row r="2832" spans="1:35" ht="12.75">
      <c r="A2832" s="6"/>
      <c r="B2832" s="6"/>
      <c r="C2832" s="6"/>
      <c r="D2832" s="10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</row>
    <row r="2833" spans="1:35" ht="12.75">
      <c r="A2833" s="6"/>
      <c r="B2833" s="6"/>
      <c r="C2833" s="6"/>
      <c r="D2833" s="10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</row>
    <row r="2834" spans="1:35" ht="12.75">
      <c r="A2834" s="6"/>
      <c r="B2834" s="6"/>
      <c r="C2834" s="6"/>
      <c r="D2834" s="10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</row>
    <row r="2835" spans="1:35" ht="12.75">
      <c r="A2835" s="6"/>
      <c r="B2835" s="6"/>
      <c r="C2835" s="6"/>
      <c r="D2835" s="10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</row>
    <row r="2836" spans="1:35" ht="12.75">
      <c r="A2836" s="6"/>
      <c r="B2836" s="6"/>
      <c r="C2836" s="6"/>
      <c r="D2836" s="10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</row>
    <row r="2837" spans="1:35" ht="12.75">
      <c r="A2837" s="6"/>
      <c r="B2837" s="6"/>
      <c r="C2837" s="6"/>
      <c r="D2837" s="10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</row>
    <row r="2838" spans="1:35" ht="12.75">
      <c r="A2838" s="6"/>
      <c r="B2838" s="6"/>
      <c r="C2838" s="6"/>
      <c r="D2838" s="10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</row>
    <row r="2839" spans="1:35" ht="12.75">
      <c r="A2839" s="6"/>
      <c r="B2839" s="6"/>
      <c r="C2839" s="6"/>
      <c r="D2839" s="10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</row>
    <row r="2840" spans="1:35" ht="12.75">
      <c r="A2840" s="6"/>
      <c r="B2840" s="6"/>
      <c r="C2840" s="6"/>
      <c r="D2840" s="10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</row>
    <row r="2841" spans="1:35" ht="12.75">
      <c r="A2841" s="6"/>
      <c r="B2841" s="6"/>
      <c r="C2841" s="6"/>
      <c r="D2841" s="10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</row>
    <row r="2842" spans="1:35" ht="12.75">
      <c r="A2842" s="6"/>
      <c r="B2842" s="6"/>
      <c r="C2842" s="6"/>
      <c r="D2842" s="10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</row>
    <row r="2843" spans="1:35" ht="12.75">
      <c r="A2843" s="6"/>
      <c r="B2843" s="6"/>
      <c r="C2843" s="6"/>
      <c r="D2843" s="10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</row>
    <row r="2844" spans="1:35" ht="12.75">
      <c r="A2844" s="6"/>
      <c r="B2844" s="6"/>
      <c r="C2844" s="6"/>
      <c r="D2844" s="10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</row>
    <row r="2845" spans="1:35" ht="12.75">
      <c r="A2845" s="6"/>
      <c r="B2845" s="6"/>
      <c r="C2845" s="6"/>
      <c r="D2845" s="10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</row>
    <row r="2846" spans="1:35" ht="12.75">
      <c r="A2846" s="6"/>
      <c r="B2846" s="6"/>
      <c r="C2846" s="6"/>
      <c r="D2846" s="10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</row>
    <row r="2847" spans="1:35" ht="12.75">
      <c r="A2847" s="6"/>
      <c r="B2847" s="6"/>
      <c r="C2847" s="6"/>
      <c r="D2847" s="10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</row>
    <row r="2848" spans="1:35" ht="12.75">
      <c r="A2848" s="6"/>
      <c r="B2848" s="6"/>
      <c r="C2848" s="6"/>
      <c r="D2848" s="10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</row>
    <row r="2849" spans="1:35" ht="12.75">
      <c r="A2849" s="6"/>
      <c r="B2849" s="6"/>
      <c r="C2849" s="6"/>
      <c r="D2849" s="10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</row>
    <row r="2850" spans="1:35" ht="12.75">
      <c r="A2850" s="6"/>
      <c r="B2850" s="6"/>
      <c r="C2850" s="6"/>
      <c r="D2850" s="10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</row>
    <row r="2851" spans="1:35" ht="12.75">
      <c r="A2851" s="6"/>
      <c r="B2851" s="6"/>
      <c r="C2851" s="6"/>
      <c r="D2851" s="10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</row>
    <row r="2852" spans="1:35" ht="12.75">
      <c r="A2852" s="6"/>
      <c r="B2852" s="6"/>
      <c r="C2852" s="6"/>
      <c r="D2852" s="10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</row>
    <row r="2853" spans="1:35" ht="12.75">
      <c r="A2853" s="6"/>
      <c r="B2853" s="6"/>
      <c r="C2853" s="6"/>
      <c r="D2853" s="10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</row>
    <row r="2854" spans="1:35" ht="12.75">
      <c r="A2854" s="6"/>
      <c r="B2854" s="6"/>
      <c r="C2854" s="6"/>
      <c r="D2854" s="10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</row>
    <row r="2855" spans="1:35" ht="12.75">
      <c r="A2855" s="6"/>
      <c r="B2855" s="6"/>
      <c r="C2855" s="6"/>
      <c r="D2855" s="10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</row>
    <row r="2856" spans="1:35" ht="12.75">
      <c r="A2856" s="6"/>
      <c r="B2856" s="6"/>
      <c r="C2856" s="6"/>
      <c r="D2856" s="10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</row>
    <row r="2857" spans="1:35" ht="12.75">
      <c r="A2857" s="6"/>
      <c r="B2857" s="6"/>
      <c r="C2857" s="6"/>
      <c r="D2857" s="10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</row>
    <row r="2858" spans="1:35" ht="12.75">
      <c r="A2858" s="6"/>
      <c r="B2858" s="6"/>
      <c r="C2858" s="6"/>
      <c r="D2858" s="10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</row>
    <row r="2859" spans="1:35" ht="12.75">
      <c r="A2859" s="6"/>
      <c r="B2859" s="6"/>
      <c r="C2859" s="6"/>
      <c r="D2859" s="10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</row>
    <row r="2860" spans="1:35" ht="12.75">
      <c r="A2860" s="6"/>
      <c r="B2860" s="6"/>
      <c r="C2860" s="6"/>
      <c r="D2860" s="10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</row>
    <row r="2861" spans="1:35" ht="12.75">
      <c r="A2861" s="6"/>
      <c r="B2861" s="6"/>
      <c r="C2861" s="6"/>
      <c r="D2861" s="10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</row>
    <row r="2862" spans="1:35" ht="12.75">
      <c r="A2862" s="6"/>
      <c r="B2862" s="6"/>
      <c r="C2862" s="6"/>
      <c r="D2862" s="10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</row>
    <row r="2863" spans="1:35" ht="12.75">
      <c r="A2863" s="6"/>
      <c r="B2863" s="6"/>
      <c r="C2863" s="6"/>
      <c r="D2863" s="10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</row>
    <row r="2864" spans="1:35" ht="12.75">
      <c r="A2864" s="6"/>
      <c r="B2864" s="6"/>
      <c r="C2864" s="6"/>
      <c r="D2864" s="10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</row>
    <row r="2865" spans="1:35" ht="12.75">
      <c r="A2865" s="6"/>
      <c r="B2865" s="6"/>
      <c r="C2865" s="6"/>
      <c r="D2865" s="10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</row>
    <row r="2866" spans="1:35" ht="12.75">
      <c r="A2866" s="6"/>
      <c r="B2866" s="6"/>
      <c r="C2866" s="6"/>
      <c r="D2866" s="10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</row>
    <row r="2867" spans="1:35" ht="12.75">
      <c r="A2867" s="6"/>
      <c r="B2867" s="6"/>
      <c r="C2867" s="6"/>
      <c r="D2867" s="10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</row>
    <row r="2868" spans="1:35" ht="12.75">
      <c r="A2868" s="6"/>
      <c r="B2868" s="6"/>
      <c r="C2868" s="6"/>
      <c r="D2868" s="10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</row>
    <row r="2869" spans="1:35" ht="12.75">
      <c r="A2869" s="6"/>
      <c r="B2869" s="6"/>
      <c r="C2869" s="6"/>
      <c r="D2869" s="10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</row>
    <row r="2870" spans="1:35" ht="12.75">
      <c r="A2870" s="6"/>
      <c r="B2870" s="6"/>
      <c r="C2870" s="6"/>
      <c r="D2870" s="10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</row>
    <row r="2871" spans="1:35" ht="12.75">
      <c r="A2871" s="6"/>
      <c r="B2871" s="6"/>
      <c r="C2871" s="6"/>
      <c r="D2871" s="10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</row>
    <row r="2872" spans="1:35" ht="12.75">
      <c r="A2872" s="6"/>
      <c r="B2872" s="6"/>
      <c r="C2872" s="6"/>
      <c r="D2872" s="10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</row>
    <row r="2873" spans="1:35" ht="12.75">
      <c r="A2873" s="6"/>
      <c r="B2873" s="6"/>
      <c r="C2873" s="6"/>
      <c r="D2873" s="10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</row>
    <row r="2874" spans="1:35" ht="12.75">
      <c r="A2874" s="6"/>
      <c r="B2874" s="6"/>
      <c r="C2874" s="6"/>
      <c r="D2874" s="10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</row>
    <row r="2875" spans="1:35" ht="12.75">
      <c r="A2875" s="6"/>
      <c r="B2875" s="6"/>
      <c r="C2875" s="6"/>
      <c r="D2875" s="10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</row>
    <row r="2876" spans="1:35" ht="12.75">
      <c r="A2876" s="6"/>
      <c r="B2876" s="6"/>
      <c r="C2876" s="6"/>
      <c r="D2876" s="10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</row>
    <row r="2877" spans="1:35" ht="12.75">
      <c r="A2877" s="6"/>
      <c r="B2877" s="6"/>
      <c r="C2877" s="6"/>
      <c r="D2877" s="10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</row>
    <row r="2878" spans="1:35" ht="12.75">
      <c r="A2878" s="6"/>
      <c r="B2878" s="6"/>
      <c r="C2878" s="6"/>
      <c r="D2878" s="10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</row>
    <row r="2879" spans="1:35" ht="12.75">
      <c r="A2879" s="6"/>
      <c r="B2879" s="6"/>
      <c r="C2879" s="6"/>
      <c r="D2879" s="10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</row>
    <row r="2880" spans="1:35" ht="12.75">
      <c r="A2880" s="6"/>
      <c r="B2880" s="6"/>
      <c r="C2880" s="6"/>
      <c r="D2880" s="10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</row>
    <row r="2881" spans="1:35" ht="12.75">
      <c r="A2881" s="6"/>
      <c r="B2881" s="6"/>
      <c r="C2881" s="6"/>
      <c r="D2881" s="10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</row>
    <row r="2882" spans="1:35" ht="12.75">
      <c r="A2882" s="6"/>
      <c r="B2882" s="6"/>
      <c r="C2882" s="6"/>
      <c r="D2882" s="10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</row>
    <row r="2883" spans="1:35" ht="12.75">
      <c r="A2883" s="6"/>
      <c r="B2883" s="6"/>
      <c r="C2883" s="6"/>
      <c r="D2883" s="10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</row>
    <row r="2884" spans="1:35" ht="12.75">
      <c r="A2884" s="6"/>
      <c r="B2884" s="6"/>
      <c r="C2884" s="6"/>
      <c r="D2884" s="10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</row>
    <row r="2885" spans="1:35" ht="12.75">
      <c r="A2885" s="6"/>
      <c r="B2885" s="6"/>
      <c r="C2885" s="6"/>
      <c r="D2885" s="10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</row>
    <row r="2886" spans="1:35" ht="12.75">
      <c r="A2886" s="6"/>
      <c r="B2886" s="6"/>
      <c r="C2886" s="6"/>
      <c r="D2886" s="10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</row>
    <row r="2887" spans="1:35" ht="12.75">
      <c r="A2887" s="6"/>
      <c r="B2887" s="6"/>
      <c r="C2887" s="6"/>
      <c r="D2887" s="10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</row>
    <row r="2888" spans="1:35" ht="12.75">
      <c r="A2888" s="6"/>
      <c r="B2888" s="6"/>
      <c r="C2888" s="6"/>
      <c r="D2888" s="10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</row>
    <row r="2889" spans="1:35" ht="12.75">
      <c r="A2889" s="6"/>
      <c r="B2889" s="6"/>
      <c r="C2889" s="6"/>
      <c r="D2889" s="10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</row>
    <row r="2890" spans="1:35" ht="12.75">
      <c r="A2890" s="6"/>
      <c r="B2890" s="6"/>
      <c r="C2890" s="6"/>
      <c r="D2890" s="10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</row>
    <row r="2891" spans="1:35" ht="12.75">
      <c r="A2891" s="6"/>
      <c r="B2891" s="6"/>
      <c r="C2891" s="6"/>
      <c r="D2891" s="10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</row>
    <row r="2892" spans="1:35" ht="12.75">
      <c r="A2892" s="6"/>
      <c r="B2892" s="6"/>
      <c r="C2892" s="6"/>
      <c r="D2892" s="10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</row>
    <row r="2893" spans="1:35" ht="12.75">
      <c r="A2893" s="6"/>
      <c r="B2893" s="6"/>
      <c r="C2893" s="6"/>
      <c r="D2893" s="10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</row>
    <row r="2894" spans="1:35" ht="12.75">
      <c r="A2894" s="6"/>
      <c r="B2894" s="6"/>
      <c r="C2894" s="6"/>
      <c r="D2894" s="10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</row>
    <row r="2895" spans="1:35" ht="12.75">
      <c r="A2895" s="6"/>
      <c r="B2895" s="6"/>
      <c r="C2895" s="6"/>
      <c r="D2895" s="10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</row>
    <row r="2896" spans="1:35" ht="12.75">
      <c r="A2896" s="6"/>
      <c r="B2896" s="6"/>
      <c r="C2896" s="6"/>
      <c r="D2896" s="10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</row>
    <row r="2897" spans="1:35" ht="12.75">
      <c r="A2897" s="6"/>
      <c r="B2897" s="6"/>
      <c r="C2897" s="6"/>
      <c r="D2897" s="10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</row>
    <row r="2898" spans="1:35" ht="12.75">
      <c r="A2898" s="6"/>
      <c r="B2898" s="6"/>
      <c r="C2898" s="6"/>
      <c r="D2898" s="10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</row>
    <row r="2899" spans="1:35" ht="12.75">
      <c r="A2899" s="6"/>
      <c r="B2899" s="6"/>
      <c r="C2899" s="6"/>
      <c r="D2899" s="10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</row>
    <row r="2900" spans="1:35" ht="12.75">
      <c r="A2900" s="6"/>
      <c r="B2900" s="6"/>
      <c r="C2900" s="6"/>
      <c r="D2900" s="10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</row>
    <row r="2901" spans="1:35" ht="12.75">
      <c r="A2901" s="6"/>
      <c r="B2901" s="6"/>
      <c r="C2901" s="6"/>
      <c r="D2901" s="10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</row>
    <row r="2902" spans="1:35" ht="12.75">
      <c r="A2902" s="6"/>
      <c r="B2902" s="6"/>
      <c r="C2902" s="6"/>
      <c r="D2902" s="10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</row>
    <row r="2903" spans="1:35" ht="12.75">
      <c r="A2903" s="6"/>
      <c r="B2903" s="6"/>
      <c r="C2903" s="6"/>
      <c r="D2903" s="10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</row>
    <row r="2904" spans="1:35" ht="12.75">
      <c r="A2904" s="6"/>
      <c r="B2904" s="6"/>
      <c r="C2904" s="6"/>
      <c r="D2904" s="10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</row>
    <row r="2905" spans="1:35" ht="12.75">
      <c r="A2905" s="6"/>
      <c r="B2905" s="6"/>
      <c r="C2905" s="6"/>
      <c r="D2905" s="10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</row>
    <row r="2906" spans="1:35" ht="12.75">
      <c r="A2906" s="6"/>
      <c r="B2906" s="6"/>
      <c r="C2906" s="6"/>
      <c r="D2906" s="10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</row>
    <row r="2907" spans="1:35" ht="12.75">
      <c r="A2907" s="6"/>
      <c r="B2907" s="6"/>
      <c r="C2907" s="6"/>
      <c r="D2907" s="10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</row>
    <row r="2908" spans="1:35" ht="12.75">
      <c r="A2908" s="6"/>
      <c r="B2908" s="6"/>
      <c r="C2908" s="6"/>
      <c r="D2908" s="10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</row>
    <row r="2909" spans="1:35" ht="12.75">
      <c r="A2909" s="6"/>
      <c r="B2909" s="6"/>
      <c r="C2909" s="6"/>
      <c r="D2909" s="10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</row>
    <row r="2910" spans="1:35" ht="12.75">
      <c r="A2910" s="6"/>
      <c r="B2910" s="6"/>
      <c r="C2910" s="6"/>
      <c r="D2910" s="10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</row>
    <row r="2911" spans="1:35" ht="12.75">
      <c r="A2911" s="6"/>
      <c r="B2911" s="6"/>
      <c r="C2911" s="6"/>
      <c r="D2911" s="10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</row>
    <row r="2912" spans="1:35" ht="12.75">
      <c r="A2912" s="6"/>
      <c r="B2912" s="6"/>
      <c r="C2912" s="6"/>
      <c r="D2912" s="10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</row>
    <row r="2913" spans="1:35" ht="12.75">
      <c r="A2913" s="6"/>
      <c r="B2913" s="6"/>
      <c r="C2913" s="6"/>
      <c r="D2913" s="10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</row>
    <row r="2914" spans="1:35" ht="12.75">
      <c r="A2914" s="6"/>
      <c r="B2914" s="6"/>
      <c r="C2914" s="6"/>
      <c r="D2914" s="10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</row>
    <row r="2915" spans="1:35" ht="12.75">
      <c r="A2915" s="6"/>
      <c r="B2915" s="6"/>
      <c r="C2915" s="6"/>
      <c r="D2915" s="10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</row>
    <row r="2916" spans="1:35" ht="12.75">
      <c r="A2916" s="6"/>
      <c r="B2916" s="6"/>
      <c r="C2916" s="6"/>
      <c r="D2916" s="10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</row>
    <row r="2917" spans="1:35" ht="12.75">
      <c r="A2917" s="6"/>
      <c r="B2917" s="6"/>
      <c r="C2917" s="6"/>
      <c r="D2917" s="10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</row>
    <row r="2918" spans="1:35" ht="12.75">
      <c r="A2918" s="6"/>
      <c r="B2918" s="6"/>
      <c r="C2918" s="6"/>
      <c r="D2918" s="10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</row>
    <row r="2919" spans="1:35" ht="12.75">
      <c r="A2919" s="6"/>
      <c r="B2919" s="6"/>
      <c r="C2919" s="6"/>
      <c r="D2919" s="10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</row>
    <row r="2920" spans="1:35" ht="12.75">
      <c r="A2920" s="6"/>
      <c r="B2920" s="6"/>
      <c r="C2920" s="6"/>
      <c r="D2920" s="10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</row>
    <row r="2921" spans="1:35" ht="12.75">
      <c r="A2921" s="6"/>
      <c r="B2921" s="6"/>
      <c r="C2921" s="6"/>
      <c r="D2921" s="10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</row>
    <row r="2922" spans="1:35" ht="12.75">
      <c r="A2922" s="6"/>
      <c r="B2922" s="6"/>
      <c r="C2922" s="6"/>
      <c r="D2922" s="10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</row>
    <row r="2923" spans="1:35" ht="12.75">
      <c r="A2923" s="6"/>
      <c r="B2923" s="6"/>
      <c r="C2923" s="6"/>
      <c r="D2923" s="10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</row>
    <row r="2924" spans="1:35" ht="12.75">
      <c r="A2924" s="6"/>
      <c r="B2924" s="6"/>
      <c r="C2924" s="6"/>
      <c r="D2924" s="10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</row>
    <row r="2925" spans="1:35" ht="12.75">
      <c r="A2925" s="6"/>
      <c r="B2925" s="6"/>
      <c r="C2925" s="6"/>
      <c r="D2925" s="10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</row>
    <row r="2926" spans="1:35" ht="12.75">
      <c r="A2926" s="6"/>
      <c r="B2926" s="6"/>
      <c r="C2926" s="6"/>
      <c r="D2926" s="10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</row>
    <row r="2927" spans="1:35" ht="12.75">
      <c r="A2927" s="6"/>
      <c r="B2927" s="6"/>
      <c r="C2927" s="6"/>
      <c r="D2927" s="10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</row>
    <row r="2928" spans="1:35" ht="12.75">
      <c r="A2928" s="6"/>
      <c r="B2928" s="6"/>
      <c r="C2928" s="6"/>
      <c r="D2928" s="10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</row>
    <row r="2929" spans="1:35" ht="12.75">
      <c r="A2929" s="6"/>
      <c r="B2929" s="6"/>
      <c r="C2929" s="6"/>
      <c r="D2929" s="10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</row>
    <row r="2930" spans="1:35" ht="12.75">
      <c r="A2930" s="6"/>
      <c r="B2930" s="6"/>
      <c r="C2930" s="6"/>
      <c r="D2930" s="10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</row>
    <row r="2931" spans="1:35" ht="12.75">
      <c r="A2931" s="6"/>
      <c r="B2931" s="6"/>
      <c r="C2931" s="6"/>
      <c r="D2931" s="10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</row>
    <row r="2932" spans="1:35" ht="12.75">
      <c r="A2932" s="6"/>
      <c r="B2932" s="6"/>
      <c r="C2932" s="6"/>
      <c r="D2932" s="10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</row>
    <row r="2933" spans="1:35" ht="12.75">
      <c r="A2933" s="6"/>
      <c r="B2933" s="6"/>
      <c r="C2933" s="6"/>
      <c r="D2933" s="10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</row>
    <row r="2934" spans="1:35" ht="12.75">
      <c r="A2934" s="6"/>
      <c r="B2934" s="6"/>
      <c r="C2934" s="6"/>
      <c r="D2934" s="10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</row>
    <row r="2935" spans="1:35" ht="12.75">
      <c r="A2935" s="6"/>
      <c r="B2935" s="6"/>
      <c r="C2935" s="6"/>
      <c r="D2935" s="10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</row>
    <row r="2936" spans="1:35" ht="12.75">
      <c r="A2936" s="6"/>
      <c r="B2936" s="6"/>
      <c r="C2936" s="6"/>
      <c r="D2936" s="10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</row>
    <row r="2937" spans="1:35" ht="12.75">
      <c r="A2937" s="6"/>
      <c r="B2937" s="6"/>
      <c r="C2937" s="6"/>
      <c r="D2937" s="10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</row>
    <row r="2938" spans="1:35" ht="12.75">
      <c r="A2938" s="6"/>
      <c r="B2938" s="6"/>
      <c r="C2938" s="6"/>
      <c r="D2938" s="10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</row>
    <row r="2939" spans="1:35" ht="12.75">
      <c r="A2939" s="6"/>
      <c r="B2939" s="6"/>
      <c r="C2939" s="6"/>
      <c r="D2939" s="10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</row>
    <row r="2940" spans="1:35" ht="12.75">
      <c r="A2940" s="6"/>
      <c r="B2940" s="6"/>
      <c r="C2940" s="6"/>
      <c r="D2940" s="10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</row>
    <row r="2941" spans="1:35" ht="12.75">
      <c r="A2941" s="6"/>
      <c r="B2941" s="6"/>
      <c r="C2941" s="6"/>
      <c r="D2941" s="10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</row>
    <row r="2942" spans="1:35" ht="12.75">
      <c r="A2942" s="6"/>
      <c r="B2942" s="6"/>
      <c r="C2942" s="6"/>
      <c r="D2942" s="10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</row>
    <row r="2943" spans="1:35" ht="12.75">
      <c r="A2943" s="6"/>
      <c r="B2943" s="6"/>
      <c r="C2943" s="6"/>
      <c r="D2943" s="10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</row>
    <row r="2944" spans="1:35" ht="12.75">
      <c r="A2944" s="6"/>
      <c r="B2944" s="6"/>
      <c r="C2944" s="6"/>
      <c r="D2944" s="10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</row>
    <row r="2945" spans="1:35" ht="12.75">
      <c r="A2945" s="6"/>
      <c r="B2945" s="6"/>
      <c r="C2945" s="6"/>
      <c r="D2945" s="10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</row>
    <row r="2946" spans="1:35" ht="12.75">
      <c r="A2946" s="6"/>
      <c r="B2946" s="6"/>
      <c r="C2946" s="6"/>
      <c r="D2946" s="10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</row>
    <row r="2947" spans="1:35" ht="12.75">
      <c r="A2947" s="6"/>
      <c r="B2947" s="6"/>
      <c r="C2947" s="6"/>
      <c r="D2947" s="10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</row>
    <row r="2948" spans="1:35" ht="12.75">
      <c r="A2948" s="6"/>
      <c r="B2948" s="6"/>
      <c r="C2948" s="6"/>
      <c r="D2948" s="10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</row>
    <row r="2949" spans="1:35" ht="12.75">
      <c r="A2949" s="6"/>
      <c r="B2949" s="6"/>
      <c r="C2949" s="6"/>
      <c r="D2949" s="10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</row>
    <row r="2950" spans="1:35" ht="12.75">
      <c r="A2950" s="6"/>
      <c r="B2950" s="6"/>
      <c r="C2950" s="6"/>
      <c r="D2950" s="10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</row>
    <row r="2951" spans="1:35" ht="12.75">
      <c r="A2951" s="6"/>
      <c r="B2951" s="6"/>
      <c r="C2951" s="6"/>
      <c r="D2951" s="10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</row>
    <row r="2952" spans="1:35" ht="12.75">
      <c r="A2952" s="6"/>
      <c r="B2952" s="6"/>
      <c r="C2952" s="6"/>
      <c r="D2952" s="10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</row>
    <row r="2953" spans="1:35" ht="12.75">
      <c r="A2953" s="6"/>
      <c r="B2953" s="6"/>
      <c r="C2953" s="6"/>
      <c r="D2953" s="10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</row>
    <row r="2954" spans="1:35" ht="12.75">
      <c r="A2954" s="6"/>
      <c r="B2954" s="6"/>
      <c r="C2954" s="6"/>
      <c r="D2954" s="10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</row>
    <row r="2955" spans="1:35" ht="12.75">
      <c r="A2955" s="6"/>
      <c r="B2955" s="6"/>
      <c r="C2955" s="6"/>
      <c r="D2955" s="10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</row>
    <row r="2956" spans="1:35" ht="12.75">
      <c r="A2956" s="6"/>
      <c r="B2956" s="6"/>
      <c r="C2956" s="6"/>
      <c r="D2956" s="10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</row>
    <row r="2957" spans="1:35" ht="12.75">
      <c r="A2957" s="6"/>
      <c r="B2957" s="6"/>
      <c r="C2957" s="6"/>
      <c r="D2957" s="10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</row>
    <row r="2958" spans="1:35" ht="12.75">
      <c r="A2958" s="6"/>
      <c r="B2958" s="6"/>
      <c r="C2958" s="6"/>
      <c r="D2958" s="10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</row>
    <row r="2959" spans="1:35" ht="12.75">
      <c r="A2959" s="6"/>
      <c r="B2959" s="6"/>
      <c r="C2959" s="6"/>
      <c r="D2959" s="10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</row>
    <row r="2960" spans="1:35" ht="12.75">
      <c r="A2960" s="6"/>
      <c r="B2960" s="6"/>
      <c r="C2960" s="6"/>
      <c r="D2960" s="10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</row>
    <row r="2961" spans="1:35" ht="12.75">
      <c r="A2961" s="6"/>
      <c r="B2961" s="6"/>
      <c r="C2961" s="6"/>
      <c r="D2961" s="10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</row>
    <row r="2962" spans="1:35" ht="12.75">
      <c r="A2962" s="6"/>
      <c r="B2962" s="6"/>
      <c r="C2962" s="6"/>
      <c r="D2962" s="10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</row>
    <row r="2963" spans="1:35" ht="12.75">
      <c r="A2963" s="6"/>
      <c r="B2963" s="6"/>
      <c r="C2963" s="6"/>
      <c r="D2963" s="10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</row>
    <row r="2964" spans="1:35" ht="12.75">
      <c r="A2964" s="6"/>
      <c r="B2964" s="6"/>
      <c r="C2964" s="6"/>
      <c r="D2964" s="10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</row>
    <row r="2965" spans="1:35" ht="12.75">
      <c r="A2965" s="6"/>
      <c r="B2965" s="6"/>
      <c r="C2965" s="6"/>
      <c r="D2965" s="10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</row>
    <row r="2966" spans="1:35" ht="12.75">
      <c r="A2966" s="6"/>
      <c r="B2966" s="6"/>
      <c r="C2966" s="6"/>
      <c r="D2966" s="10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</row>
    <row r="2967" spans="1:35" ht="12.75">
      <c r="A2967" s="6"/>
      <c r="B2967" s="6"/>
      <c r="C2967" s="6"/>
      <c r="D2967" s="10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</row>
    <row r="2968" spans="1:35" ht="12.75">
      <c r="A2968" s="6"/>
      <c r="B2968" s="6"/>
      <c r="C2968" s="6"/>
      <c r="D2968" s="10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</row>
    <row r="2969" spans="1:35" ht="12.75">
      <c r="A2969" s="6"/>
      <c r="B2969" s="6"/>
      <c r="C2969" s="6"/>
      <c r="D2969" s="10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</row>
    <row r="2970" spans="1:35" ht="12.75">
      <c r="A2970" s="6"/>
      <c r="B2970" s="6"/>
      <c r="C2970" s="6"/>
      <c r="D2970" s="10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</row>
    <row r="2971" spans="1:35" ht="12.75">
      <c r="A2971" s="6"/>
      <c r="B2971" s="6"/>
      <c r="C2971" s="6"/>
      <c r="D2971" s="10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</row>
    <row r="2972" spans="1:35" ht="12.75">
      <c r="A2972" s="6"/>
      <c r="B2972" s="6"/>
      <c r="C2972" s="6"/>
      <c r="D2972" s="10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</row>
    <row r="2973" spans="1:35" ht="12.75">
      <c r="A2973" s="6"/>
      <c r="B2973" s="6"/>
      <c r="C2973" s="6"/>
      <c r="D2973" s="10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</row>
    <row r="2974" spans="1:35" ht="12.75">
      <c r="A2974" s="6"/>
      <c r="B2974" s="6"/>
      <c r="C2974" s="6"/>
      <c r="D2974" s="10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</row>
    <row r="2975" spans="1:35" ht="12.75">
      <c r="A2975" s="6"/>
      <c r="B2975" s="6"/>
      <c r="C2975" s="6"/>
      <c r="D2975" s="10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</row>
    <row r="2976" spans="1:35" ht="12.75">
      <c r="A2976" s="6"/>
      <c r="B2976" s="6"/>
      <c r="C2976" s="6"/>
      <c r="D2976" s="10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</row>
    <row r="2977" spans="1:35" ht="12.75">
      <c r="A2977" s="6"/>
      <c r="B2977" s="6"/>
      <c r="C2977" s="6"/>
      <c r="D2977" s="10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</row>
    <row r="2978" spans="1:35" ht="12.75">
      <c r="A2978" s="6"/>
      <c r="B2978" s="6"/>
      <c r="C2978" s="6"/>
      <c r="D2978" s="10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</row>
    <row r="2979" spans="1:35" ht="12.75">
      <c r="A2979" s="6"/>
      <c r="B2979" s="6"/>
      <c r="C2979" s="6"/>
      <c r="D2979" s="10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</row>
    <row r="2980" spans="1:35" ht="12.75">
      <c r="A2980" s="6"/>
      <c r="B2980" s="6"/>
      <c r="C2980" s="6"/>
      <c r="D2980" s="10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</row>
    <row r="2981" spans="1:35" ht="12.75">
      <c r="A2981" s="6"/>
      <c r="B2981" s="6"/>
      <c r="C2981" s="6"/>
      <c r="D2981" s="10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</row>
    <row r="2982" spans="1:35" ht="12.75">
      <c r="A2982" s="6"/>
      <c r="B2982" s="6"/>
      <c r="C2982" s="6"/>
      <c r="D2982" s="10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</row>
    <row r="2983" spans="1:35" ht="12.75">
      <c r="A2983" s="6"/>
      <c r="B2983" s="6"/>
      <c r="C2983" s="6"/>
      <c r="D2983" s="10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</row>
    <row r="2984" spans="1:35" ht="12.75">
      <c r="A2984" s="6"/>
      <c r="B2984" s="6"/>
      <c r="C2984" s="6"/>
      <c r="D2984" s="10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</row>
    <row r="2985" spans="1:35" ht="12.75">
      <c r="A2985" s="6"/>
      <c r="B2985" s="6"/>
      <c r="C2985" s="6"/>
      <c r="D2985" s="10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</row>
    <row r="2986" spans="1:35" ht="12.75">
      <c r="A2986" s="6"/>
      <c r="B2986" s="6"/>
      <c r="C2986" s="6"/>
      <c r="D2986" s="10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</row>
    <row r="2987" spans="1:35" ht="12.75">
      <c r="A2987" s="6"/>
      <c r="B2987" s="6"/>
      <c r="C2987" s="6"/>
      <c r="D2987" s="10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</row>
    <row r="2988" spans="1:35" ht="12.75">
      <c r="A2988" s="6"/>
      <c r="B2988" s="6"/>
      <c r="C2988" s="6"/>
      <c r="D2988" s="10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</row>
    <row r="2989" spans="1:35" ht="12.75">
      <c r="A2989" s="6"/>
      <c r="B2989" s="6"/>
      <c r="C2989" s="6"/>
      <c r="D2989" s="10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</row>
    <row r="2990" spans="1:35" ht="12.75">
      <c r="A2990" s="6"/>
      <c r="B2990" s="6"/>
      <c r="C2990" s="6"/>
      <c r="D2990" s="10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</row>
    <row r="2991" spans="1:35" ht="12.75">
      <c r="A2991" s="6"/>
      <c r="B2991" s="6"/>
      <c r="C2991" s="6"/>
      <c r="D2991" s="10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</row>
    <row r="2992" spans="1:35" ht="12.75">
      <c r="A2992" s="6"/>
      <c r="B2992" s="6"/>
      <c r="C2992" s="6"/>
      <c r="D2992" s="10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</row>
    <row r="2993" spans="1:35" ht="12.75">
      <c r="A2993" s="6"/>
      <c r="B2993" s="6"/>
      <c r="C2993" s="6"/>
      <c r="D2993" s="10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</row>
    <row r="2994" spans="1:35" ht="12.75">
      <c r="A2994" s="6"/>
      <c r="B2994" s="6"/>
      <c r="C2994" s="6"/>
      <c r="D2994" s="10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</row>
    <row r="2995" spans="1:35" ht="12.75">
      <c r="A2995" s="6"/>
      <c r="B2995" s="6"/>
      <c r="C2995" s="6"/>
      <c r="D2995" s="10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</row>
    <row r="2996" spans="1:35" ht="12.75">
      <c r="A2996" s="6"/>
      <c r="B2996" s="6"/>
      <c r="C2996" s="6"/>
      <c r="D2996" s="10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</row>
    <row r="2997" spans="1:35" ht="12.75">
      <c r="A2997" s="6"/>
      <c r="B2997" s="6"/>
      <c r="C2997" s="6"/>
      <c r="D2997" s="10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</row>
    <row r="2998" spans="1:35" ht="12.75">
      <c r="A2998" s="6"/>
      <c r="B2998" s="6"/>
      <c r="C2998" s="6"/>
      <c r="D2998" s="10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</row>
    <row r="2999" spans="1:35" ht="12.75">
      <c r="A2999" s="6"/>
      <c r="B2999" s="6"/>
      <c r="C2999" s="6"/>
      <c r="D2999" s="10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</row>
    <row r="3000" spans="1:35" ht="12.75">
      <c r="A3000" s="6"/>
      <c r="B3000" s="6"/>
      <c r="C3000" s="6"/>
      <c r="D3000" s="10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</row>
    <row r="3001" spans="1:35" ht="12.75">
      <c r="A3001" s="6"/>
      <c r="B3001" s="6"/>
      <c r="C3001" s="6"/>
      <c r="D3001" s="10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</row>
    <row r="3002" spans="1:35" ht="12.75">
      <c r="A3002" s="6"/>
      <c r="B3002" s="6"/>
      <c r="C3002" s="6"/>
      <c r="D3002" s="10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</row>
    <row r="3003" spans="1:35" ht="12.75">
      <c r="A3003" s="6"/>
      <c r="B3003" s="6"/>
      <c r="C3003" s="6"/>
      <c r="D3003" s="10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</row>
    <row r="3004" spans="1:35" ht="12.75">
      <c r="A3004" s="6"/>
      <c r="B3004" s="6"/>
      <c r="C3004" s="6"/>
      <c r="D3004" s="10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C7"/>
  <sheetViews>
    <sheetView workbookViewId="0"/>
  </sheetViews>
  <sheetFormatPr defaultColWidth="12.5703125" defaultRowHeight="15.75" customHeight="1"/>
  <sheetData>
    <row r="1" spans="2:3">
      <c r="B1" s="14">
        <f>B2-1</f>
        <v>40178</v>
      </c>
      <c r="C1" s="15">
        <f t="shared" ref="C1:C2" si="0">B1</f>
        <v>40178</v>
      </c>
    </row>
    <row r="2" spans="2:3">
      <c r="B2" s="16">
        <v>40179</v>
      </c>
      <c r="C2" s="15">
        <f t="shared" si="0"/>
        <v>40179</v>
      </c>
    </row>
    <row r="7" spans="2:3">
      <c r="B7" s="17" t="s">
        <v>29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С. Аюпова</dc:creator>
  <cp:lastModifiedBy>Alex Akatyev</cp:lastModifiedBy>
  <dcterms:created xsi:type="dcterms:W3CDTF">2026-01-13T10:48:50Z</dcterms:created>
  <dcterms:modified xsi:type="dcterms:W3CDTF">2026-02-13T04:05:00Z</dcterms:modified>
</cp:coreProperties>
</file>